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ome.neugebauer\Downloads\"/>
    </mc:Choice>
  </mc:AlternateContent>
  <xr:revisionPtr revIDLastSave="0" documentId="8_{9C5968DA-E831-4FD9-9977-6623FFB7BC4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mmandes serv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0" i="1" l="1"/>
  <c r="AI50" i="1"/>
  <c r="AE50" i="1"/>
  <c r="AJ49" i="1"/>
  <c r="AI49" i="1"/>
  <c r="AE49" i="1"/>
  <c r="AJ48" i="1"/>
  <c r="AI48" i="1"/>
  <c r="AE48" i="1"/>
  <c r="AJ47" i="1"/>
  <c r="AI47" i="1"/>
  <c r="AE47" i="1"/>
  <c r="AJ46" i="1"/>
  <c r="AI46" i="1"/>
  <c r="AE46" i="1"/>
  <c r="AJ45" i="1"/>
  <c r="AI45" i="1"/>
  <c r="AE45" i="1"/>
  <c r="AJ44" i="1"/>
  <c r="AI44" i="1"/>
  <c r="AE44" i="1"/>
  <c r="AJ43" i="1"/>
  <c r="AI43" i="1"/>
  <c r="AE43" i="1"/>
  <c r="AJ42" i="1"/>
  <c r="AI42" i="1"/>
  <c r="AE42" i="1"/>
  <c r="AJ41" i="1"/>
  <c r="AI41" i="1"/>
  <c r="AE41" i="1"/>
  <c r="AJ40" i="1"/>
  <c r="AI40" i="1"/>
  <c r="AE40" i="1"/>
  <c r="AJ39" i="1"/>
  <c r="AI39" i="1"/>
  <c r="AE39" i="1"/>
  <c r="AJ38" i="1"/>
  <c r="AI38" i="1"/>
  <c r="AE38" i="1"/>
  <c r="AJ37" i="1"/>
  <c r="AI37" i="1"/>
  <c r="AE37" i="1"/>
  <c r="AJ36" i="1"/>
  <c r="AI36" i="1"/>
  <c r="AE36" i="1"/>
  <c r="AJ35" i="1"/>
  <c r="AI35" i="1"/>
  <c r="AE35" i="1"/>
  <c r="AJ34" i="1"/>
  <c r="AI34" i="1"/>
  <c r="AE34" i="1"/>
  <c r="AJ33" i="1"/>
  <c r="AI33" i="1"/>
  <c r="AE33" i="1"/>
  <c r="AJ32" i="1"/>
  <c r="AI32" i="1"/>
  <c r="AE32" i="1"/>
  <c r="AJ31" i="1"/>
  <c r="AI31" i="1"/>
  <c r="AE31" i="1"/>
  <c r="AJ30" i="1"/>
  <c r="AI30" i="1"/>
  <c r="AE30" i="1"/>
  <c r="AJ29" i="1"/>
  <c r="AI29" i="1"/>
  <c r="AE29" i="1"/>
  <c r="AJ28" i="1"/>
  <c r="AI28" i="1"/>
  <c r="AE28" i="1"/>
  <c r="AJ27" i="1"/>
  <c r="AI27" i="1"/>
  <c r="AE27" i="1"/>
  <c r="AJ26" i="1"/>
  <c r="AI26" i="1"/>
  <c r="AE26" i="1"/>
  <c r="AJ25" i="1"/>
  <c r="AI25" i="1"/>
  <c r="AE25" i="1"/>
  <c r="AJ24" i="1"/>
  <c r="AI24" i="1"/>
  <c r="AE24" i="1"/>
  <c r="AJ23" i="1"/>
  <c r="AI23" i="1"/>
  <c r="AE23" i="1"/>
  <c r="AJ22" i="1"/>
  <c r="AI22" i="1"/>
  <c r="AE22" i="1"/>
  <c r="AJ21" i="1"/>
  <c r="AI21" i="1"/>
  <c r="AE21" i="1"/>
  <c r="AJ20" i="1"/>
  <c r="AI20" i="1"/>
  <c r="AE20" i="1"/>
  <c r="AJ19" i="1"/>
  <c r="AI19" i="1"/>
  <c r="AE19" i="1"/>
  <c r="AJ18" i="1"/>
  <c r="AI18" i="1"/>
  <c r="AE18" i="1"/>
  <c r="AJ17" i="1"/>
  <c r="AI17" i="1"/>
  <c r="AE17" i="1"/>
  <c r="AJ16" i="1"/>
  <c r="AI16" i="1"/>
  <c r="AE16" i="1"/>
  <c r="AJ15" i="1"/>
  <c r="AI15" i="1"/>
  <c r="AE15" i="1"/>
  <c r="AJ14" i="1"/>
  <c r="AI14" i="1"/>
  <c r="AE14" i="1"/>
  <c r="AJ13" i="1"/>
  <c r="AI13" i="1"/>
  <c r="AE13" i="1"/>
  <c r="AJ12" i="1"/>
  <c r="AI12" i="1"/>
  <c r="AE12" i="1"/>
  <c r="AJ11" i="1"/>
  <c r="AI11" i="1"/>
  <c r="AE11" i="1"/>
  <c r="AJ10" i="1"/>
  <c r="AI10" i="1"/>
  <c r="AE10" i="1"/>
  <c r="AJ9" i="1"/>
  <c r="AI9" i="1"/>
  <c r="AE9" i="1"/>
  <c r="AJ8" i="1"/>
  <c r="AI8" i="1"/>
  <c r="AE8" i="1"/>
  <c r="AJ7" i="1"/>
  <c r="AI7" i="1"/>
  <c r="AE7" i="1"/>
  <c r="AJ6" i="1"/>
  <c r="AI6" i="1"/>
  <c r="AE6" i="1"/>
  <c r="AJ5" i="1"/>
  <c r="AI5" i="1"/>
  <c r="AE5" i="1"/>
  <c r="AJ4" i="1"/>
  <c r="AI4" i="1"/>
  <c r="AE4" i="1"/>
  <c r="AJ3" i="1"/>
  <c r="AI3" i="1"/>
  <c r="AE3" i="1"/>
  <c r="AJ2" i="1"/>
  <c r="AI2" i="1"/>
  <c r="AE2" i="1"/>
</calcChain>
</file>

<file path=xl/sharedStrings.xml><?xml version="1.0" encoding="utf-8"?>
<sst xmlns="http://schemas.openxmlformats.org/spreadsheetml/2006/main" count="1509" uniqueCount="540">
  <si>
    <t>N°</t>
  </si>
  <si>
    <t>N° partenaire IC (réplication)</t>
  </si>
  <si>
    <t>Date d'intervention</t>
  </si>
  <si>
    <t>Statut planning</t>
  </si>
  <si>
    <t>Type Intervention</t>
  </si>
  <si>
    <t>Nom</t>
  </si>
  <si>
    <t>Désignation</t>
  </si>
  <si>
    <t>Ressource intervention</t>
  </si>
  <si>
    <t>Durée de l intervention</t>
  </si>
  <si>
    <t>N° Projet</t>
  </si>
  <si>
    <t>Technicien préféré</t>
  </si>
  <si>
    <t>Votre référence</t>
  </si>
  <si>
    <t>N° client</t>
  </si>
  <si>
    <t>Client Bloqué</t>
  </si>
  <si>
    <t>Code zone service</t>
  </si>
  <si>
    <t>Adresse</t>
  </si>
  <si>
    <t>Adresse 2</t>
  </si>
  <si>
    <t>Code postal</t>
  </si>
  <si>
    <t>Ville</t>
  </si>
  <si>
    <t>Région</t>
  </si>
  <si>
    <t>E-mail</t>
  </si>
  <si>
    <t>Code pays/région</t>
  </si>
  <si>
    <t>Erreur validation</t>
  </si>
  <si>
    <t>Désignation contrat service</t>
  </si>
  <si>
    <t>Date intervention initiale</t>
  </si>
  <si>
    <t>Statut</t>
  </si>
  <si>
    <t>Statut ARECO contrat service</t>
  </si>
  <si>
    <t>Date de fin contrat service</t>
  </si>
  <si>
    <t>Ville destinataire</t>
  </si>
  <si>
    <t>Date commande</t>
  </si>
  <si>
    <t>Import général</t>
  </si>
  <si>
    <t>Signataire</t>
  </si>
  <si>
    <t>N° téléphone</t>
  </si>
  <si>
    <t>N° contact</t>
  </si>
  <si>
    <t>Réserve client/Garantie AGEFI</t>
  </si>
  <si>
    <t>Commentaires</t>
  </si>
  <si>
    <t>Commentaire client</t>
  </si>
  <si>
    <t>N° dern. facture</t>
  </si>
  <si>
    <t>Date comptabilisation</t>
  </si>
  <si>
    <t>AR187988</t>
  </si>
  <si>
    <t>ARECO</t>
  </si>
  <si>
    <t>Planifié</t>
  </si>
  <si>
    <t>05 DEP</t>
  </si>
  <si>
    <t>SARL PUGET FRAICHEUR ( GF )</t>
  </si>
  <si>
    <t>MATT135012-1 / Fuite d'eau</t>
  </si>
  <si>
    <t>IGR</t>
  </si>
  <si>
    <t/>
  </si>
  <si>
    <t>JLA</t>
  </si>
  <si>
    <t>MATT135012-1</t>
  </si>
  <si>
    <t>ZO1242</t>
  </si>
  <si>
    <t>83A</t>
  </si>
  <si>
    <t>RN7  - Chemin de la Tuilière</t>
  </si>
  <si>
    <t>83480</t>
  </si>
  <si>
    <t>Puget Sur Argens</t>
  </si>
  <si>
    <t>maintenance@prosol-support.fr</t>
  </si>
  <si>
    <t>FR</t>
  </si>
  <si>
    <t>Contrat Performance +</t>
  </si>
  <si>
    <t>En cours</t>
  </si>
  <si>
    <t>CENTRALE</t>
  </si>
  <si>
    <t>04 94 54 25 59</t>
  </si>
  <si>
    <t>CT005628</t>
  </si>
  <si>
    <t>AR187957</t>
  </si>
  <si>
    <t>07 AUTRE PREV</t>
  </si>
  <si>
    <t>O MARCHE FRAIS BRETIGNY</t>
  </si>
  <si>
    <t>DOUBLON SEL</t>
  </si>
  <si>
    <t>ASA</t>
  </si>
  <si>
    <t>HMO</t>
  </si>
  <si>
    <t>ZO1401</t>
  </si>
  <si>
    <t>91A</t>
  </si>
  <si>
    <t>ZAC DE MAISON NEUVE- 12 RUE DU POITOU</t>
  </si>
  <si>
    <t>91220</t>
  </si>
  <si>
    <t>Bretigny Sur Orge</t>
  </si>
  <si>
    <t>comptabilite.situations@syrinxpan.fr ; salim.gachtoum@syrinxpan.fr</t>
  </si>
  <si>
    <t>Contrat Confort + Analyses</t>
  </si>
  <si>
    <t>Suspendu</t>
  </si>
  <si>
    <t>ENVOYE</t>
  </si>
  <si>
    <t>01 60 85 85 85 / 01 48 94 0011</t>
  </si>
  <si>
    <t>CT005647</t>
  </si>
  <si>
    <t>AR187951</t>
  </si>
  <si>
    <t>44 NUITEE</t>
  </si>
  <si>
    <t>BUREAU</t>
  </si>
  <si>
    <t>france ; 68140 ; luttenbach pres munster</t>
  </si>
  <si>
    <t>JFR</t>
  </si>
  <si>
    <t>CT009134</t>
  </si>
  <si>
    <t>AR187947</t>
  </si>
  <si>
    <t>france ; 44210 ; Pornic</t>
  </si>
  <si>
    <t>SBA</t>
  </si>
  <si>
    <t>AR187941</t>
  </si>
  <si>
    <t>FRANCE ; 16320 ; villebois lavalette</t>
  </si>
  <si>
    <t>CGU</t>
  </si>
  <si>
    <t>AR187933</t>
  </si>
  <si>
    <t>03 DEP INST</t>
  </si>
  <si>
    <t>SNC LES JARDINS DE BRETIGNY ( GF )</t>
  </si>
  <si>
    <t>MATT134914-1 / Machine a brumisation sous le ban</t>
  </si>
  <si>
    <t>MATT134914-1</t>
  </si>
  <si>
    <t>CL00006</t>
  </si>
  <si>
    <t>1 ET 3 RUE DE LA DESSERTE INDUSTRIELLE</t>
  </si>
  <si>
    <t>01 60 85 45 76</t>
  </si>
  <si>
    <t>CT003541</t>
  </si>
  <si>
    <t>AR187909</t>
  </si>
  <si>
    <t>10 AUTRE CUR</t>
  </si>
  <si>
    <t>SUPER U BISCHWILLER</t>
  </si>
  <si>
    <t>Boitier de commande défectueux / Le changer, LIV</t>
  </si>
  <si>
    <t>AYA</t>
  </si>
  <si>
    <t>DKA</t>
  </si>
  <si>
    <t>SUBISCHWIL</t>
  </si>
  <si>
    <t>67B</t>
  </si>
  <si>
    <t>13 RUE OBERHOFFEN</t>
  </si>
  <si>
    <t>67240</t>
  </si>
  <si>
    <t>Bischwiller</t>
  </si>
  <si>
    <t>superu.bischwiller@cooperative-u.fr</t>
  </si>
  <si>
    <t>Contrat Confort</t>
  </si>
  <si>
    <t>PARTIEL</t>
  </si>
  <si>
    <t>03 88 06 42 00</t>
  </si>
  <si>
    <t>CT004824</t>
  </si>
  <si>
    <t>AR187900</t>
  </si>
  <si>
    <t>SUPER U ST YRIEIX SUR CHARENTE</t>
  </si>
  <si>
    <t>MAIL Vigeolas Marie-Pierre / NEBU MAREE FAIBLE /</t>
  </si>
  <si>
    <t>CL07976</t>
  </si>
  <si>
    <t>16</t>
  </si>
  <si>
    <t>183 rue St Jean d’Angely</t>
  </si>
  <si>
    <t>16710</t>
  </si>
  <si>
    <t>St Yrieix Sur Charente</t>
  </si>
  <si>
    <t>fls768@coop-atlantique.fr ; resp768@coop-altantique.fr</t>
  </si>
  <si>
    <t>RETOURNE</t>
  </si>
  <si>
    <t>05 45 92 48 87</t>
  </si>
  <si>
    <t>CT008501</t>
  </si>
  <si>
    <t>AR187898</t>
  </si>
  <si>
    <t>INTERMARCHE ALES LES ALLEMANDES</t>
  </si>
  <si>
    <t>APPEL / MR DAVID RESP FLEG / NEBU FUITE FLEG</t>
  </si>
  <si>
    <t>BWI</t>
  </si>
  <si>
    <t>IMALES</t>
  </si>
  <si>
    <t>30A</t>
  </si>
  <si>
    <t>198 av Frères Lumière</t>
  </si>
  <si>
    <t>30100</t>
  </si>
  <si>
    <t>Ales</t>
  </si>
  <si>
    <t>pdv10352@mousquetaires.com</t>
  </si>
  <si>
    <t>04 66 30 26 12</t>
  </si>
  <si>
    <t>CT004278</t>
  </si>
  <si>
    <t>AR187878</t>
  </si>
  <si>
    <t>15 DEPRE</t>
  </si>
  <si>
    <t>UTILE LES ANGLES</t>
  </si>
  <si>
    <t>APPEL / MR SCHILLACI / NEBU FLEG TRES FAIBLE</t>
  </si>
  <si>
    <t>SPARANGLES</t>
  </si>
  <si>
    <t>Avenue de la 2ème Division Blindée</t>
  </si>
  <si>
    <t>Ccial Les Priades - Rte de Nîmes</t>
  </si>
  <si>
    <t>30133</t>
  </si>
  <si>
    <t>Les Angles</t>
  </si>
  <si>
    <t>stephvitart@orange.fr; salvatore@utilelesangles.fr;superu.saintsorlinenvalloire.</t>
  </si>
  <si>
    <t>Confort + Analyses</t>
  </si>
  <si>
    <t>04 90 25 51 15</t>
  </si>
  <si>
    <t>CT004813</t>
  </si>
  <si>
    <t>AR187858</t>
  </si>
  <si>
    <t>SUPER U MONTIGNY LES METZ</t>
  </si>
  <si>
    <t>MAIL MR SEDDA / fuite d'eau sur le système ARECO</t>
  </si>
  <si>
    <t>SUMONTIGNY</t>
  </si>
  <si>
    <t>57</t>
  </si>
  <si>
    <t>28 rue de Nomeny</t>
  </si>
  <si>
    <t>57950</t>
  </si>
  <si>
    <t>Montigny Les Metz</t>
  </si>
  <si>
    <t>pierre-olivier.loridon@cooperative-u.fr</t>
  </si>
  <si>
    <t>Confort</t>
  </si>
  <si>
    <t>03 87 63 45 93</t>
  </si>
  <si>
    <t>CT004864</t>
  </si>
  <si>
    <t>AR187850</t>
  </si>
  <si>
    <t>02 AUDIT</t>
  </si>
  <si>
    <t>SNC LE PRIMEUR DE SEMECOURT ( GF )</t>
  </si>
  <si>
    <t>Audit M2B</t>
  </si>
  <si>
    <t>GDU</t>
  </si>
  <si>
    <t>PSFEVES</t>
  </si>
  <si>
    <t>ZAC EURO MOSELLE SUD</t>
  </si>
  <si>
    <t>RUE DE LA FONTAINE CHAUDRON</t>
  </si>
  <si>
    <t>57280</t>
  </si>
  <si>
    <t>Feves</t>
  </si>
  <si>
    <t>03 87 80 24 82</t>
  </si>
  <si>
    <t>CT004711</t>
  </si>
  <si>
    <t>AR187849</t>
  </si>
  <si>
    <t>LECLERC BERTRANGE</t>
  </si>
  <si>
    <t>CORABERTRA</t>
  </si>
  <si>
    <t>LU</t>
  </si>
  <si>
    <t>80 ROUTE DE LONGWY</t>
  </si>
  <si>
    <t>L-8060</t>
  </si>
  <si>
    <t>Bertrange</t>
  </si>
  <si>
    <t>luc.francois@bertrange.leclerc;emilie.sous@bertrange.leclerc</t>
  </si>
  <si>
    <t>00352 45 02 24 506</t>
  </si>
  <si>
    <t>CT004090</t>
  </si>
  <si>
    <t>AR187847</t>
  </si>
  <si>
    <t>LE PRIMEUR DE WICKRANGE ( GF )</t>
  </si>
  <si>
    <t>CL11151</t>
  </si>
  <si>
    <t>1 Rue des 3 Cantons</t>
  </si>
  <si>
    <t>L-3980</t>
  </si>
  <si>
    <t>WICKRANGE</t>
  </si>
  <si>
    <t>CT016181</t>
  </si>
  <si>
    <t>AR187780</t>
  </si>
  <si>
    <t>36 FIN INST</t>
  </si>
  <si>
    <t>INTERMARCHE TOULON SERINETTE</t>
  </si>
  <si>
    <t>FINITION NEBUL</t>
  </si>
  <si>
    <t>P08221</t>
  </si>
  <si>
    <t>DF20260430017</t>
  </si>
  <si>
    <t>CL11095</t>
  </si>
  <si>
    <t>Le Pélican 2</t>
  </si>
  <si>
    <t>1000 Bd Jean Baptiste Abel</t>
  </si>
  <si>
    <t>83000</t>
  </si>
  <si>
    <t>Toulon</t>
  </si>
  <si>
    <t>CT016154</t>
  </si>
  <si>
    <t>AR187767</t>
  </si>
  <si>
    <t>AR187672</t>
  </si>
  <si>
    <t>LECLERC MONTAUBAN SAPIAC</t>
  </si>
  <si>
    <t>MAIL DENIS CARTOUX / VANNE FERMEE CAR FUITE SOUS</t>
  </si>
  <si>
    <t>LAL</t>
  </si>
  <si>
    <t>TDU</t>
  </si>
  <si>
    <t>LCMONTAUB2</t>
  </si>
  <si>
    <t>82</t>
  </si>
  <si>
    <t>RUE DE L'ABBAYE - SAPIAC</t>
  </si>
  <si>
    <t>82000</t>
  </si>
  <si>
    <t>Montauban</t>
  </si>
  <si>
    <t>maintenance@montauban-sapiac.leclerc</t>
  </si>
  <si>
    <t>05 63 63 9797</t>
  </si>
  <si>
    <t>CT004549</t>
  </si>
  <si>
    <t>AR187658</t>
  </si>
  <si>
    <t>france ; 84360 ; lauris</t>
  </si>
  <si>
    <t>TDO</t>
  </si>
  <si>
    <t>AR187595</t>
  </si>
  <si>
    <t>09 EXT</t>
  </si>
  <si>
    <t>HMY - AUCHAN SUPER 320 BORMES LES MIMOSAS (SAV 26)</t>
  </si>
  <si>
    <t>CRI</t>
  </si>
  <si>
    <t>553418</t>
  </si>
  <si>
    <t>CL08059</t>
  </si>
  <si>
    <t>89</t>
  </si>
  <si>
    <t>Rue AVENUE DES LIGURES</t>
  </si>
  <si>
    <t>83230</t>
  </si>
  <si>
    <t>Bormes Les Mimosas</t>
  </si>
  <si>
    <t>Moneteau</t>
  </si>
  <si>
    <t>02 54 23 13 28</t>
  </si>
  <si>
    <t>CT009043</t>
  </si>
  <si>
    <t>AR187583</t>
  </si>
  <si>
    <t>ZUMMO  CARREFOUR MARKET CUGNAUX</t>
  </si>
  <si>
    <t>MMD</t>
  </si>
  <si>
    <t>PS26-03170</t>
  </si>
  <si>
    <t>CL11982</t>
  </si>
  <si>
    <t>ES</t>
  </si>
  <si>
    <t>75 RUE HENRI GLADI CHEZ UNG STEPHANE</t>
  </si>
  <si>
    <t>31270</t>
  </si>
  <si>
    <t>Cugnaux</t>
  </si>
  <si>
    <t>customerservice@zummo.es</t>
  </si>
  <si>
    <t>Moncada Valencia</t>
  </si>
  <si>
    <t>0625167506</t>
  </si>
  <si>
    <t>CT022419</t>
  </si>
  <si>
    <t>AR187063</t>
  </si>
  <si>
    <t>41 RECUP NUIT</t>
  </si>
  <si>
    <t>LECLERC ONET LE CHATEAU ESTRENIOL</t>
  </si>
  <si>
    <t>Recup LECLERC ONET LE CHATEAU ESTRENIOL</t>
  </si>
  <si>
    <t>PCO</t>
  </si>
  <si>
    <t>PS-BPA MR WILFRID DU 09 07 2026</t>
  </si>
  <si>
    <t>LCSEBAZACC</t>
  </si>
  <si>
    <t>12A</t>
  </si>
  <si>
    <t>POLE COMM. COMTAL SUD</t>
  </si>
  <si>
    <t>L'ESTRENIOL</t>
  </si>
  <si>
    <t>12850</t>
  </si>
  <si>
    <t>Onet Le Chateau</t>
  </si>
  <si>
    <t>dorian.combettes@onet-le-chateau.leclerc ; anais.laurens@onet-le-chateau.leclerc</t>
  </si>
  <si>
    <t>05 65 74 59 00</t>
  </si>
  <si>
    <t>CT004566</t>
  </si>
  <si>
    <t>AR187033</t>
  </si>
  <si>
    <t>ZUMMO - INTERMARCHE PDV02807 CONDOM</t>
  </si>
  <si>
    <t>maintenance / upgrade de la machine 2.0 à Adapt</t>
  </si>
  <si>
    <t>PS2602570</t>
  </si>
  <si>
    <t>AU PORTAIL ROUGE</t>
  </si>
  <si>
    <t>32100</t>
  </si>
  <si>
    <t>Condom</t>
  </si>
  <si>
    <t>05 62 68 36 36</t>
  </si>
  <si>
    <t>AR186993</t>
  </si>
  <si>
    <t>U EXPRESS MUNSTER</t>
  </si>
  <si>
    <t>APPEL / RESPONSABLE / NEBU FL HS</t>
  </si>
  <si>
    <t>JSA</t>
  </si>
  <si>
    <t>B-680026</t>
  </si>
  <si>
    <t>68A</t>
  </si>
  <si>
    <t>13 rue du 9ème Zouaves</t>
  </si>
  <si>
    <t>68140</t>
  </si>
  <si>
    <t>Eschbach Au Val</t>
  </si>
  <si>
    <t>superu.munster.qualite_hygiene@cooperative-u.fr</t>
  </si>
  <si>
    <t>Contrat CONFORT</t>
  </si>
  <si>
    <t>06 37 66 05 50/ 03 89 77 20 02</t>
  </si>
  <si>
    <t>CT019004</t>
  </si>
  <si>
    <t>AR186911</t>
  </si>
  <si>
    <t>INTERMARCHE DRAGUIGNAN</t>
  </si>
  <si>
    <t>PREVOIR CHANGEMENT FILTRATION VOIR MAIL IGR</t>
  </si>
  <si>
    <t>IMDRAGUIGN</t>
  </si>
  <si>
    <t>526, avenue Brossolette</t>
  </si>
  <si>
    <t>83300</t>
  </si>
  <si>
    <t>Draguignan</t>
  </si>
  <si>
    <t>qualite83@outlook.fr</t>
  </si>
  <si>
    <t>Contrat CONFORT + ANALYSES</t>
  </si>
  <si>
    <t>04 94 68 18 19</t>
  </si>
  <si>
    <t>CT004338</t>
  </si>
  <si>
    <t>AR186661</t>
  </si>
  <si>
    <t>ZUMMO - CARREFOUR PUGET SUR ARGENS</t>
  </si>
  <si>
    <t>INSTALLATION FORMATION</t>
  </si>
  <si>
    <t>PS26-02817</t>
  </si>
  <si>
    <t>RN 7</t>
  </si>
  <si>
    <t>04 98 12 97 79</t>
  </si>
  <si>
    <t>AR186061</t>
  </si>
  <si>
    <t>1INSTAL</t>
  </si>
  <si>
    <t>LES HALLES DE JOJO BALMA</t>
  </si>
  <si>
    <t>INSTALLATION PROXY FL</t>
  </si>
  <si>
    <t>CRO</t>
  </si>
  <si>
    <t>P08332</t>
  </si>
  <si>
    <t>DF20260616010</t>
  </si>
  <si>
    <t>CL12383</t>
  </si>
  <si>
    <t>31</t>
  </si>
  <si>
    <t>Rue Corbusier</t>
  </si>
  <si>
    <t>31130</t>
  </si>
  <si>
    <t>Balma</t>
  </si>
  <si>
    <t>CT024396</t>
  </si>
  <si>
    <t>AR183134</t>
  </si>
  <si>
    <t>06 INST</t>
  </si>
  <si>
    <t>500 PARIS RAYMOND LOSSERAND ( MON MARCHE )</t>
  </si>
  <si>
    <t>INSTALLATION 2 ILOTS + CH. FROIDE</t>
  </si>
  <si>
    <t>YBO</t>
  </si>
  <si>
    <t>P08179</t>
  </si>
  <si>
    <t>#MATT111582-1</t>
  </si>
  <si>
    <t>CL12332</t>
  </si>
  <si>
    <t>75A</t>
  </si>
  <si>
    <t>Rue Raymond-Losserand</t>
  </si>
  <si>
    <t>75014</t>
  </si>
  <si>
    <t>Paris</t>
  </si>
  <si>
    <t>+33 6 85 28 92 78</t>
  </si>
  <si>
    <t>CT024163</t>
  </si>
  <si>
    <t>AR182498</t>
  </si>
  <si>
    <t>500 CHATEAUBRIANT ( FRESH )</t>
  </si>
  <si>
    <t>INSTALLATION 2 ILOTS +CH. FROIDE</t>
  </si>
  <si>
    <t>MDI</t>
  </si>
  <si>
    <t>P08149</t>
  </si>
  <si>
    <t>YLE</t>
  </si>
  <si>
    <t>#MATT111964-1</t>
  </si>
  <si>
    <t>CL12321</t>
  </si>
  <si>
    <t>44</t>
  </si>
  <si>
    <t>24 Rue du 8 Mai 1945</t>
  </si>
  <si>
    <t>44110</t>
  </si>
  <si>
    <t>Chateaubriant</t>
  </si>
  <si>
    <t>CT024168</t>
  </si>
  <si>
    <t>AR182195</t>
  </si>
  <si>
    <t>29 D+M2B</t>
  </si>
  <si>
    <t>LA VIE CLAIRE VIERZON</t>
  </si>
  <si>
    <t>RMO</t>
  </si>
  <si>
    <t>CL12078</t>
  </si>
  <si>
    <t>18</t>
  </si>
  <si>
    <t>CC l'Orée de Sologne</t>
  </si>
  <si>
    <t>Chemin de l'Ardillat</t>
  </si>
  <si>
    <t>18100</t>
  </si>
  <si>
    <t>Vierzon</t>
  </si>
  <si>
    <t>g.morel@neoleasy.fr</t>
  </si>
  <si>
    <t>06 11 13 21 67 /06 09 84 46 75</t>
  </si>
  <si>
    <t>CT022723</t>
  </si>
  <si>
    <t>AR181757</t>
  </si>
  <si>
    <t>500 PORNIC ( FRESH )</t>
  </si>
  <si>
    <t>P08098</t>
  </si>
  <si>
    <t>#MATT108965</t>
  </si>
  <si>
    <t>CL12302</t>
  </si>
  <si>
    <t>Zone de l'Europe, 6 Rue du Traité de Rome</t>
  </si>
  <si>
    <t>44210</t>
  </si>
  <si>
    <t>Pornic</t>
  </si>
  <si>
    <t>CT024110</t>
  </si>
  <si>
    <t>AR181025</t>
  </si>
  <si>
    <t>LECLERC ST GEORGES DE RENEINS</t>
  </si>
  <si>
    <t>Recup LECLERC ST GEORGES DE RENEINS</t>
  </si>
  <si>
    <t>HPE</t>
  </si>
  <si>
    <t>GDE</t>
  </si>
  <si>
    <t>NEB PS-BPA MR MOREL DU 25/02/2026</t>
  </si>
  <si>
    <t>ZINK1855</t>
  </si>
  <si>
    <t>69B</t>
  </si>
  <si>
    <t>LES VERNAILLES - RUE DE L'INDUSTRIE</t>
  </si>
  <si>
    <t>69830</t>
  </si>
  <si>
    <t>St Georges De Reneins</t>
  </si>
  <si>
    <t>elodie.sabugueiro@saintgeorgesdereneins.leclerc</t>
  </si>
  <si>
    <t>04 74 02 70 00</t>
  </si>
  <si>
    <t>CT004999</t>
  </si>
  <si>
    <t>AR181024</t>
  </si>
  <si>
    <t>GBO</t>
  </si>
  <si>
    <t>AR178174</t>
  </si>
  <si>
    <t>04 M2B</t>
  </si>
  <si>
    <t>SUPER U GAMBSHEIM</t>
  </si>
  <si>
    <t>SUGAMBSHEI</t>
  </si>
  <si>
    <t>ROUTE DE HERRLISHEIM</t>
  </si>
  <si>
    <t>67760</t>
  </si>
  <si>
    <t>Gambsheim</t>
  </si>
  <si>
    <t>thierry.groll@cooperative-u.fr</t>
  </si>
  <si>
    <t>03 88 96 74 75</t>
  </si>
  <si>
    <t>CT004844</t>
  </si>
  <si>
    <t>AR178007</t>
  </si>
  <si>
    <t>12 M1B</t>
  </si>
  <si>
    <t>DAVEY BICKFORD - BAT 207C</t>
  </si>
  <si>
    <t>CLS</t>
  </si>
  <si>
    <t>DDE</t>
  </si>
  <si>
    <t>CL11561</t>
  </si>
  <si>
    <t>LE MOULIN GASPARD</t>
  </si>
  <si>
    <t>89550</t>
  </si>
  <si>
    <t>Hery</t>
  </si>
  <si>
    <t>frederic.delolo@dalkia.fr;ic@areco.fr;gabriel.dubuc@dalkia.fr</t>
  </si>
  <si>
    <t>03 86 47 30 36</t>
  </si>
  <si>
    <t>CT020962</t>
  </si>
  <si>
    <t>AR177986</t>
  </si>
  <si>
    <t>DAVEY BICKFORD - BAT 103C</t>
  </si>
  <si>
    <t>CL11552</t>
  </si>
  <si>
    <t>CT020953</t>
  </si>
  <si>
    <t>AR177400</t>
  </si>
  <si>
    <t>EDEKA SEIFERMAN RENCHEN</t>
  </si>
  <si>
    <t>GGR</t>
  </si>
  <si>
    <t>CL10671</t>
  </si>
  <si>
    <t>DE</t>
  </si>
  <si>
    <t>Seifermann GmbH</t>
  </si>
  <si>
    <t>Mozartstraße 1</t>
  </si>
  <si>
    <t>77871</t>
  </si>
  <si>
    <t>RENCHEN</t>
  </si>
  <si>
    <t>renchen@seifermann.de;recepce@gastrotechnogroup.cz</t>
  </si>
  <si>
    <t>CT001936</t>
  </si>
  <si>
    <t>AR176790</t>
  </si>
  <si>
    <t>INTERMARCHE ST AMAND MONTROND</t>
  </si>
  <si>
    <t>RETARD DE MARS / A FAIRE RAPIDEMENT</t>
  </si>
  <si>
    <t>CL03859</t>
  </si>
  <si>
    <t>9 ROUTE DE BOURGES</t>
  </si>
  <si>
    <t>18200</t>
  </si>
  <si>
    <t>St Amand Montrond</t>
  </si>
  <si>
    <t>sebpillard@orange.fr; directeur.amandis@gmail.com</t>
  </si>
  <si>
    <t>Performance avec Analyse</t>
  </si>
  <si>
    <t>02 48 96 66 31</t>
  </si>
  <si>
    <t>CT003690</t>
  </si>
  <si>
    <t>AR176731</t>
  </si>
  <si>
    <t>31 D+M2</t>
  </si>
  <si>
    <t>INTERMARCHE AUMETZ</t>
  </si>
  <si>
    <t>APPEL / MME ALINE / NEBU HS MAREE</t>
  </si>
  <si>
    <t>IMAUMETZ</t>
  </si>
  <si>
    <t>15 RUE DE L'ANCIENNE SCIERIE</t>
  </si>
  <si>
    <t>57710</t>
  </si>
  <si>
    <t>Aumetz</t>
  </si>
  <si>
    <t>pdv02218@mousquetaires.com</t>
  </si>
  <si>
    <t>Sérénité + Analyses</t>
  </si>
  <si>
    <t>03 82 59 51 51</t>
  </si>
  <si>
    <t>CT004282</t>
  </si>
  <si>
    <t>AR175416</t>
  </si>
  <si>
    <t>SNC LE PRIMEUR DE LORIENT ( GF )</t>
  </si>
  <si>
    <t>JCO</t>
  </si>
  <si>
    <t>MATT134640-1</t>
  </si>
  <si>
    <t>CL11882</t>
  </si>
  <si>
    <t>56A</t>
  </si>
  <si>
    <t>ZAC DU KERULVE</t>
  </si>
  <si>
    <t>56100</t>
  </si>
  <si>
    <t>Lorient</t>
  </si>
  <si>
    <t>PERFORMANCE +</t>
  </si>
  <si>
    <t>CT021950</t>
  </si>
  <si>
    <t>AR175275</t>
  </si>
  <si>
    <t>500 SCY CHAZELLES ( FRESH )</t>
  </si>
  <si>
    <t>CL11379</t>
  </si>
  <si>
    <t>31 Voie de la Liberté</t>
  </si>
  <si>
    <t>57160</t>
  </si>
  <si>
    <t>Scy Chazelles</t>
  </si>
  <si>
    <t>CT017803</t>
  </si>
  <si>
    <t>AR175226</t>
  </si>
  <si>
    <t>FL ST MARTIN DES CHAMPS ( GF )</t>
  </si>
  <si>
    <t>MATT134570-1 / De la fumée est sortie du moteur</t>
  </si>
  <si>
    <t>MATT134570-1</t>
  </si>
  <si>
    <t>CL11139</t>
  </si>
  <si>
    <t>29</t>
  </si>
  <si>
    <t>ZAC du Binigou</t>
  </si>
  <si>
    <t>65 Route de Saint-Sève</t>
  </si>
  <si>
    <t>29600</t>
  </si>
  <si>
    <t>St Martin Des Champs</t>
  </si>
  <si>
    <t>0298621051</t>
  </si>
  <si>
    <t>CT016142</t>
  </si>
  <si>
    <t>AR175105</t>
  </si>
  <si>
    <t>500 BEAUZELLE ( FRESH )</t>
  </si>
  <si>
    <t>CL10422</t>
  </si>
  <si>
    <t>Rue du Juncassa</t>
  </si>
  <si>
    <t>31700</t>
  </si>
  <si>
    <t>Beauzelle</t>
  </si>
  <si>
    <t>05 32 53 54 75</t>
  </si>
  <si>
    <t>CT012425</t>
  </si>
  <si>
    <t>AR174445</t>
  </si>
  <si>
    <t>SNC SOYAUX FRUITS ( GF )</t>
  </si>
  <si>
    <t>ZINK3268</t>
  </si>
  <si>
    <t>LA CROIX BLANCHE</t>
  </si>
  <si>
    <t>16800</t>
  </si>
  <si>
    <t>Soyaux</t>
  </si>
  <si>
    <t>05 45 69 14 09</t>
  </si>
  <si>
    <t>CT005282</t>
  </si>
  <si>
    <t>AR173469</t>
  </si>
  <si>
    <t>SUPER U ST MARTIN DE CRAU</t>
  </si>
  <si>
    <t>B-130218</t>
  </si>
  <si>
    <t>13A</t>
  </si>
  <si>
    <t>AVENUE MARKGRONINGEN</t>
  </si>
  <si>
    <t>13310</t>
  </si>
  <si>
    <t>St Martin De Crau</t>
  </si>
  <si>
    <t>super.usmc.frais@gmail.com;superu.saintmartindecrau.compta@cooperative-u.fr</t>
  </si>
  <si>
    <t>04 90 47 23 00</t>
  </si>
  <si>
    <t>CT018521</t>
  </si>
  <si>
    <t>AR171480</t>
  </si>
  <si>
    <t>SUPER U VILLEBOIS LAVALETTE</t>
  </si>
  <si>
    <t>CL07576</t>
  </si>
  <si>
    <t>ZAC de Sigalaud</t>
  </si>
  <si>
    <t>Av Maison Blanche</t>
  </si>
  <si>
    <t>16320</t>
  </si>
  <si>
    <t>Villebois Lavalette</t>
  </si>
  <si>
    <t>Superu.villeboislavalette.direction@systeme-u.fr</t>
  </si>
  <si>
    <t>05 45 64 95 95</t>
  </si>
  <si>
    <t>CT003889</t>
  </si>
  <si>
    <t>AR170493</t>
  </si>
  <si>
    <t>22 M2</t>
  </si>
  <si>
    <t>LECLERC LA SEYNE SUR MER - SEYDIS SHO</t>
  </si>
  <si>
    <t>CL04616</t>
  </si>
  <si>
    <t>83B</t>
  </si>
  <si>
    <t>avenue Jean-Albert Lamarque</t>
  </si>
  <si>
    <t>Quartier Lery</t>
  </si>
  <si>
    <t>83500</t>
  </si>
  <si>
    <t>La Seyne Sur Mer</t>
  </si>
  <si>
    <t>resp_qualite.seydis@lecasud.fr</t>
  </si>
  <si>
    <t>Sérénité</t>
  </si>
  <si>
    <t>04 94 11 01 40</t>
  </si>
  <si>
    <t>CT003727</t>
  </si>
  <si>
    <t>AR169052</t>
  </si>
  <si>
    <t>DOUBLON ASA</t>
  </si>
  <si>
    <t>SEL</t>
  </si>
  <si>
    <t>AR168910</t>
  </si>
  <si>
    <t>LECLERC SOULTZ SOUS FORETS</t>
  </si>
  <si>
    <t>B-670057</t>
  </si>
  <si>
    <t>67A</t>
  </si>
  <si>
    <t>2 rue Georges Chretien Rosentritt</t>
  </si>
  <si>
    <t>67250</t>
  </si>
  <si>
    <t>Soultz Sous Forets</t>
  </si>
  <si>
    <t>elodie.vicktor@soultz-sous-forets.leclerc;florent.rapp@soultz-sous-forets.lecler</t>
  </si>
  <si>
    <t>03 88 05 67 00</t>
  </si>
  <si>
    <t>CT018995</t>
  </si>
  <si>
    <t>AR167542</t>
  </si>
  <si>
    <t>INTERMARCHE COLMAR</t>
  </si>
  <si>
    <t>B-680025</t>
  </si>
  <si>
    <t>13 rte d'ingersheim</t>
  </si>
  <si>
    <t>68000</t>
  </si>
  <si>
    <t>Colmar</t>
  </si>
  <si>
    <t>pdv05912@mousquetaires.com</t>
  </si>
  <si>
    <t>03 89 41 11 16 / 0620627328</t>
  </si>
  <si>
    <t>CT019003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</si>
</sst>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50" totalsRowShown="0">
  <autoFilter ref="A1:AM50" xr:uid="{00000000-0009-0000-0100-000001000000}"/>
  <tableColumns count="39">
    <tableColumn id="1" xr3:uid="{00000000-0010-0000-0000-000001000000}" name="N°"/>
    <tableColumn id="2" xr3:uid="{00000000-0010-0000-0000-000002000000}" name="N° partenaire IC (réplication)"/>
    <tableColumn id="3" xr3:uid="{00000000-0010-0000-0000-000003000000}" name="Date d'intervention"/>
    <tableColumn id="4" xr3:uid="{00000000-0010-0000-0000-000004000000}" name="Statut planning"/>
    <tableColumn id="5" xr3:uid="{00000000-0010-0000-0000-000005000000}" name="Type Intervention"/>
    <tableColumn id="6" xr3:uid="{00000000-0010-0000-0000-000006000000}" name="Nom"/>
    <tableColumn id="7" xr3:uid="{00000000-0010-0000-0000-000007000000}" name="Désignation"/>
    <tableColumn id="8" xr3:uid="{00000000-0010-0000-0000-000008000000}" name="Ressource intervention"/>
    <tableColumn id="9" xr3:uid="{00000000-0010-0000-0000-000009000000}" name="Durée de l intervention"/>
    <tableColumn id="10" xr3:uid="{00000000-0010-0000-0000-00000A000000}" name="N° Projet"/>
    <tableColumn id="11" xr3:uid="{00000000-0010-0000-0000-00000B000000}" name="Technicien préféré"/>
    <tableColumn id="12" xr3:uid="{00000000-0010-0000-0000-00000C000000}" name="Votre référence"/>
    <tableColumn id="13" xr3:uid="{00000000-0010-0000-0000-00000D000000}" name="N° client"/>
    <tableColumn id="14" xr3:uid="{00000000-0010-0000-0000-00000E000000}" name="Client Bloqué"/>
    <tableColumn id="15" xr3:uid="{00000000-0010-0000-0000-00000F000000}" name="Code zone service"/>
    <tableColumn id="16" xr3:uid="{00000000-0010-0000-0000-000010000000}" name="Adresse"/>
    <tableColumn id="17" xr3:uid="{00000000-0010-0000-0000-000011000000}" name="Adresse 2"/>
    <tableColumn id="18" xr3:uid="{00000000-0010-0000-0000-000012000000}" name="Code postal"/>
    <tableColumn id="19" xr3:uid="{00000000-0010-0000-0000-000013000000}" name="Ville"/>
    <tableColumn id="20" xr3:uid="{00000000-0010-0000-0000-000014000000}" name="Région"/>
    <tableColumn id="21" xr3:uid="{00000000-0010-0000-0000-000015000000}" name="E-mail"/>
    <tableColumn id="22" xr3:uid="{00000000-0010-0000-0000-000016000000}" name="Code pays/région"/>
    <tableColumn id="23" xr3:uid="{00000000-0010-0000-0000-000017000000}" name="Erreur validation"/>
    <tableColumn id="24" xr3:uid="{00000000-0010-0000-0000-000018000000}" name="Désignation contrat service"/>
    <tableColumn id="25" xr3:uid="{00000000-0010-0000-0000-000019000000}" name="Date intervention initiale"/>
    <tableColumn id="26" xr3:uid="{00000000-0010-0000-0000-00001A000000}" name="Statut"/>
    <tableColumn id="27" xr3:uid="{00000000-0010-0000-0000-00001B000000}" name="Statut ARECO contrat service"/>
    <tableColumn id="28" xr3:uid="{00000000-0010-0000-0000-00001C000000}" name="Date de fin contrat service"/>
    <tableColumn id="29" xr3:uid="{00000000-0010-0000-0000-00001D000000}" name="Ville destinataire"/>
    <tableColumn id="30" xr3:uid="{00000000-0010-0000-0000-00001E000000}" name="Date commande"/>
    <tableColumn id="31" xr3:uid="{00000000-0010-0000-0000-00001F000000}" name="Import général"/>
    <tableColumn id="32" xr3:uid="{00000000-0010-0000-0000-000020000000}" name="Signataire"/>
    <tableColumn id="33" xr3:uid="{00000000-0010-0000-0000-000021000000}" name="N° téléphone"/>
    <tableColumn id="34" xr3:uid="{00000000-0010-0000-0000-000022000000}" name="N° contact"/>
    <tableColumn id="35" xr3:uid="{00000000-0010-0000-0000-000023000000}" name="Réserve client/Garantie AGEFI"/>
    <tableColumn id="36" xr3:uid="{00000000-0010-0000-0000-000024000000}" name="Commentaires"/>
    <tableColumn id="37" xr3:uid="{00000000-0010-0000-0000-000025000000}" name="Commentaire client"/>
    <tableColumn id="38" xr3:uid="{00000000-0010-0000-0000-000026000000}" name="N° dern. facture"/>
    <tableColumn id="39" xr3:uid="{00000000-0010-0000-0000-000027000000}" name="Date comptabilis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5.44140625" bestFit="1" customWidth="1"/>
    <col min="2" max="2" width="28.6640625" bestFit="1" customWidth="1"/>
    <col min="3" max="3" width="20.6640625" bestFit="1" customWidth="1"/>
    <col min="4" max="4" width="16.6640625" bestFit="1" customWidth="1"/>
    <col min="5" max="5" width="19.109375" bestFit="1" customWidth="1"/>
    <col min="6" max="6" width="7.5546875" bestFit="1" customWidth="1"/>
    <col min="7" max="7" width="13.88671875" bestFit="1" customWidth="1"/>
    <col min="8" max="8" width="23.88671875" bestFit="1" customWidth="1"/>
    <col min="9" max="9" width="24" bestFit="1" customWidth="1"/>
    <col min="10" max="10" width="11.21875" bestFit="1" customWidth="1"/>
    <col min="11" max="11" width="19.88671875" bestFit="1" customWidth="1"/>
    <col min="12" max="12" width="17.21875" bestFit="1" customWidth="1"/>
    <col min="13" max="13" width="10.88671875" bestFit="1" customWidth="1"/>
    <col min="14" max="14" width="15.21875" bestFit="1" customWidth="1"/>
    <col min="15" max="15" width="19.21875" bestFit="1" customWidth="1"/>
    <col min="16" max="16" width="10.44140625" bestFit="1" customWidth="1"/>
    <col min="17" max="17" width="11.88671875" bestFit="1" customWidth="1"/>
    <col min="18" max="18" width="13.6640625" bestFit="1" customWidth="1"/>
    <col min="19" max="19" width="7.44140625" bestFit="1" customWidth="1"/>
    <col min="20" max="20" width="9.44140625" bestFit="1" customWidth="1"/>
    <col min="21" max="21" width="8.88671875" bestFit="1" customWidth="1"/>
    <col min="22" max="22" width="18.88671875" bestFit="1" customWidth="1"/>
    <col min="23" max="23" width="18" bestFit="1" customWidth="1"/>
    <col min="24" max="24" width="27.21875" bestFit="1" customWidth="1"/>
    <col min="25" max="25" width="25.6640625" bestFit="1" customWidth="1"/>
    <col min="26" max="26" width="8.5546875" bestFit="1" customWidth="1"/>
    <col min="27" max="27" width="28.44140625" bestFit="1" customWidth="1"/>
    <col min="28" max="28" width="26.21875" bestFit="1" customWidth="1"/>
    <col min="29" max="29" width="18.5546875" bestFit="1" customWidth="1"/>
    <col min="30" max="30" width="17.6640625" bestFit="1" customWidth="1"/>
    <col min="31" max="31" width="16.44140625" bestFit="1" customWidth="1"/>
    <col min="32" max="32" width="12.109375" bestFit="1" customWidth="1"/>
    <col min="33" max="33" width="15.109375" bestFit="1" customWidth="1"/>
    <col min="34" max="34" width="12.21875" bestFit="1" customWidth="1"/>
    <col min="35" max="35" width="30.109375" bestFit="1" customWidth="1"/>
    <col min="36" max="36" width="16.21875" bestFit="1" customWidth="1"/>
    <col min="37" max="37" width="20.88671875" bestFit="1" customWidth="1"/>
    <col min="38" max="38" width="17.21875" bestFit="1" customWidth="1"/>
    <col min="39" max="39" width="22.66406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 t="s">
        <v>39</v>
      </c>
      <c r="B2" s="2" t="s">
        <v>40</v>
      </c>
      <c r="C2" s="3">
        <v>46238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4">
        <v>1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46</v>
      </c>
      <c r="O2" s="2" t="s">
        <v>50</v>
      </c>
      <c r="P2" s="2" t="s">
        <v>51</v>
      </c>
      <c r="Q2" s="2" t="s">
        <v>46</v>
      </c>
      <c r="R2" s="2" t="s">
        <v>52</v>
      </c>
      <c r="S2" s="2" t="s">
        <v>53</v>
      </c>
      <c r="T2" s="2" t="s">
        <v>46</v>
      </c>
      <c r="U2" s="2" t="s">
        <v>54</v>
      </c>
      <c r="V2" s="2" t="s">
        <v>55</v>
      </c>
      <c r="W2" s="2" t="s">
        <v>46</v>
      </c>
      <c r="X2" s="2" t="s">
        <v>56</v>
      </c>
      <c r="Y2" s="3">
        <v>46237</v>
      </c>
      <c r="Z2" s="2" t="s">
        <v>57</v>
      </c>
      <c r="AA2" s="2" t="s">
        <v>58</v>
      </c>
      <c r="AB2" s="3">
        <v>46387</v>
      </c>
      <c r="AC2" s="2" t="s">
        <v>53</v>
      </c>
      <c r="AD2" s="3">
        <v>46237</v>
      </c>
      <c r="AE2" s="5" t="b">
        <f>TRUE()</f>
        <v>1</v>
      </c>
      <c r="AF2" s="2" t="s">
        <v>46</v>
      </c>
      <c r="AG2" s="2" t="s">
        <v>59</v>
      </c>
      <c r="AH2" s="2" t="s">
        <v>60</v>
      </c>
      <c r="AI2" s="5" t="b">
        <f>FALSE()</f>
        <v>0</v>
      </c>
      <c r="AJ2" s="5" t="b">
        <f>TRUE()</f>
        <v>1</v>
      </c>
      <c r="AK2" s="2" t="s">
        <v>46</v>
      </c>
      <c r="AL2" s="2" t="s">
        <v>46</v>
      </c>
      <c r="AM2" s="3">
        <v>46237</v>
      </c>
    </row>
    <row r="3" spans="1:39" x14ac:dyDescent="0.3">
      <c r="A3" s="2" t="s">
        <v>61</v>
      </c>
      <c r="B3" s="2" t="s">
        <v>40</v>
      </c>
      <c r="C3" s="3">
        <v>46238</v>
      </c>
      <c r="D3" s="2" t="s">
        <v>41</v>
      </c>
      <c r="E3" s="2" t="s">
        <v>62</v>
      </c>
      <c r="F3" s="2" t="s">
        <v>63</v>
      </c>
      <c r="G3" s="2" t="s">
        <v>64</v>
      </c>
      <c r="H3" s="2" t="s">
        <v>65</v>
      </c>
      <c r="I3" s="4">
        <v>4.1500000000000004</v>
      </c>
      <c r="J3" s="2" t="s">
        <v>46</v>
      </c>
      <c r="K3" s="2" t="s">
        <v>66</v>
      </c>
      <c r="L3" s="2" t="s">
        <v>46</v>
      </c>
      <c r="M3" s="2" t="s">
        <v>67</v>
      </c>
      <c r="N3" s="2" t="s">
        <v>46</v>
      </c>
      <c r="O3" s="2" t="s">
        <v>68</v>
      </c>
      <c r="P3" s="2" t="s">
        <v>69</v>
      </c>
      <c r="Q3" s="2" t="s">
        <v>46</v>
      </c>
      <c r="R3" s="2" t="s">
        <v>70</v>
      </c>
      <c r="S3" s="2" t="s">
        <v>71</v>
      </c>
      <c r="T3" s="2" t="s">
        <v>46</v>
      </c>
      <c r="U3" s="2" t="s">
        <v>72</v>
      </c>
      <c r="V3" s="2" t="s">
        <v>55</v>
      </c>
      <c r="W3" s="2" t="s">
        <v>46</v>
      </c>
      <c r="X3" s="2" t="s">
        <v>73</v>
      </c>
      <c r="Y3" s="3">
        <v>46234</v>
      </c>
      <c r="Z3" s="2" t="s">
        <v>74</v>
      </c>
      <c r="AA3" s="2" t="s">
        <v>75</v>
      </c>
      <c r="AB3" s="3">
        <v>46265</v>
      </c>
      <c r="AC3" s="2" t="s">
        <v>71</v>
      </c>
      <c r="AD3" s="3">
        <v>46234</v>
      </c>
      <c r="AE3" s="5" t="b">
        <f>TRUE()</f>
        <v>1</v>
      </c>
      <c r="AF3" s="2" t="s">
        <v>46</v>
      </c>
      <c r="AG3" s="2" t="s">
        <v>76</v>
      </c>
      <c r="AH3" s="2" t="s">
        <v>77</v>
      </c>
      <c r="AI3" s="5" t="b">
        <f>FALSE()</f>
        <v>0</v>
      </c>
      <c r="AJ3" s="5" t="b">
        <f>FALSE()</f>
        <v>0</v>
      </c>
      <c r="AK3" s="2" t="s">
        <v>46</v>
      </c>
      <c r="AL3" s="2" t="s">
        <v>46</v>
      </c>
      <c r="AM3" s="3">
        <v>46234</v>
      </c>
    </row>
    <row r="4" spans="1:39" x14ac:dyDescent="0.3">
      <c r="A4" s="2" t="s">
        <v>78</v>
      </c>
      <c r="B4" s="2" t="s">
        <v>40</v>
      </c>
      <c r="C4" s="3">
        <v>46238</v>
      </c>
      <c r="D4" s="2" t="s">
        <v>41</v>
      </c>
      <c r="E4" s="2" t="s">
        <v>79</v>
      </c>
      <c r="F4" s="2" t="s">
        <v>80</v>
      </c>
      <c r="G4" s="2" t="s">
        <v>81</v>
      </c>
      <c r="H4" s="2" t="s">
        <v>82</v>
      </c>
      <c r="I4" s="4">
        <v>1.5</v>
      </c>
      <c r="J4" s="2" t="s">
        <v>46</v>
      </c>
      <c r="K4" s="2" t="s">
        <v>82</v>
      </c>
      <c r="L4" s="2" t="s">
        <v>46</v>
      </c>
      <c r="M4" s="2" t="s">
        <v>80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46</v>
      </c>
      <c r="S4" s="2" t="s">
        <v>46</v>
      </c>
      <c r="T4" s="2" t="s">
        <v>46</v>
      </c>
      <c r="U4" s="2" t="s">
        <v>46</v>
      </c>
      <c r="V4" s="2" t="s">
        <v>46</v>
      </c>
      <c r="W4" s="2" t="s">
        <v>46</v>
      </c>
      <c r="X4" s="2" t="s">
        <v>46</v>
      </c>
      <c r="Y4" s="3">
        <v>46238</v>
      </c>
      <c r="Z4" s="2" t="s">
        <v>74</v>
      </c>
      <c r="AA4" s="2" t="s">
        <v>46</v>
      </c>
      <c r="AB4" s="3"/>
      <c r="AC4" s="2" t="s">
        <v>46</v>
      </c>
      <c r="AD4" s="3">
        <v>46234</v>
      </c>
      <c r="AE4" s="5" t="b">
        <f>TRUE()</f>
        <v>1</v>
      </c>
      <c r="AF4" s="2" t="s">
        <v>46</v>
      </c>
      <c r="AG4" s="2" t="s">
        <v>46</v>
      </c>
      <c r="AH4" s="2" t="s">
        <v>83</v>
      </c>
      <c r="AI4" s="5" t="b">
        <f>FALSE()</f>
        <v>0</v>
      </c>
      <c r="AJ4" s="5" t="b">
        <f>FALSE()</f>
        <v>0</v>
      </c>
      <c r="AK4" s="2" t="s">
        <v>46</v>
      </c>
      <c r="AL4" s="2" t="s">
        <v>46</v>
      </c>
      <c r="AM4" s="3">
        <v>46234</v>
      </c>
    </row>
    <row r="5" spans="1:39" x14ac:dyDescent="0.3">
      <c r="A5" s="2" t="s">
        <v>84</v>
      </c>
      <c r="B5" s="2" t="s">
        <v>40</v>
      </c>
      <c r="C5" s="3">
        <v>46238</v>
      </c>
      <c r="D5" s="2" t="s">
        <v>41</v>
      </c>
      <c r="E5" s="2" t="s">
        <v>79</v>
      </c>
      <c r="F5" s="2" t="s">
        <v>80</v>
      </c>
      <c r="G5" s="2" t="s">
        <v>85</v>
      </c>
      <c r="H5" s="2" t="s">
        <v>86</v>
      </c>
      <c r="I5" s="4">
        <v>1.5</v>
      </c>
      <c r="J5" s="2" t="s">
        <v>46</v>
      </c>
      <c r="K5" s="2" t="s">
        <v>86</v>
      </c>
      <c r="L5" s="2" t="s">
        <v>46</v>
      </c>
      <c r="M5" s="2" t="s">
        <v>80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46</v>
      </c>
      <c r="S5" s="2" t="s">
        <v>46</v>
      </c>
      <c r="T5" s="2" t="s">
        <v>46</v>
      </c>
      <c r="U5" s="2" t="s">
        <v>46</v>
      </c>
      <c r="V5" s="2" t="s">
        <v>46</v>
      </c>
      <c r="W5" s="2" t="s">
        <v>46</v>
      </c>
      <c r="X5" s="2" t="s">
        <v>46</v>
      </c>
      <c r="Y5" s="3">
        <v>46238</v>
      </c>
      <c r="Z5" s="2" t="s">
        <v>74</v>
      </c>
      <c r="AA5" s="2" t="s">
        <v>46</v>
      </c>
      <c r="AB5" s="3"/>
      <c r="AC5" s="2" t="s">
        <v>46</v>
      </c>
      <c r="AD5" s="3">
        <v>46234</v>
      </c>
      <c r="AE5" s="5" t="b">
        <f>TRUE()</f>
        <v>1</v>
      </c>
      <c r="AF5" s="2" t="s">
        <v>46</v>
      </c>
      <c r="AG5" s="2" t="s">
        <v>46</v>
      </c>
      <c r="AH5" s="2" t="s">
        <v>83</v>
      </c>
      <c r="AI5" s="5" t="b">
        <f>FALSE()</f>
        <v>0</v>
      </c>
      <c r="AJ5" s="5" t="b">
        <f>FALSE()</f>
        <v>0</v>
      </c>
      <c r="AK5" s="2" t="s">
        <v>46</v>
      </c>
      <c r="AL5" s="2" t="s">
        <v>46</v>
      </c>
      <c r="AM5" s="3">
        <v>46234</v>
      </c>
    </row>
    <row r="6" spans="1:39" x14ac:dyDescent="0.3">
      <c r="A6" s="2" t="s">
        <v>87</v>
      </c>
      <c r="B6" s="2" t="s">
        <v>40</v>
      </c>
      <c r="C6" s="3">
        <v>46238</v>
      </c>
      <c r="D6" s="2" t="s">
        <v>41</v>
      </c>
      <c r="E6" s="2" t="s">
        <v>79</v>
      </c>
      <c r="F6" s="2" t="s">
        <v>80</v>
      </c>
      <c r="G6" s="2" t="s">
        <v>88</v>
      </c>
      <c r="H6" s="2" t="s">
        <v>89</v>
      </c>
      <c r="I6" s="4">
        <v>1.5</v>
      </c>
      <c r="J6" s="2" t="s">
        <v>46</v>
      </c>
      <c r="K6" s="2" t="s">
        <v>89</v>
      </c>
      <c r="L6" s="2" t="s">
        <v>46</v>
      </c>
      <c r="M6" s="2" t="s">
        <v>80</v>
      </c>
      <c r="N6" s="2" t="s">
        <v>46</v>
      </c>
      <c r="O6" s="2" t="s">
        <v>46</v>
      </c>
      <c r="P6" s="2" t="s">
        <v>46</v>
      </c>
      <c r="Q6" s="2" t="s">
        <v>46</v>
      </c>
      <c r="R6" s="2" t="s">
        <v>46</v>
      </c>
      <c r="S6" s="2" t="s">
        <v>46</v>
      </c>
      <c r="T6" s="2" t="s">
        <v>46</v>
      </c>
      <c r="U6" s="2" t="s">
        <v>46</v>
      </c>
      <c r="V6" s="2" t="s">
        <v>46</v>
      </c>
      <c r="W6" s="2" t="s">
        <v>46</v>
      </c>
      <c r="X6" s="2" t="s">
        <v>46</v>
      </c>
      <c r="Y6" s="3">
        <v>46238</v>
      </c>
      <c r="Z6" s="2" t="s">
        <v>74</v>
      </c>
      <c r="AA6" s="2" t="s">
        <v>46</v>
      </c>
      <c r="AB6" s="3"/>
      <c r="AC6" s="2" t="s">
        <v>46</v>
      </c>
      <c r="AD6" s="3">
        <v>46234</v>
      </c>
      <c r="AE6" s="5" t="b">
        <f>TRUE()</f>
        <v>1</v>
      </c>
      <c r="AF6" s="2" t="s">
        <v>46</v>
      </c>
      <c r="AG6" s="2" t="s">
        <v>46</v>
      </c>
      <c r="AH6" s="2" t="s">
        <v>83</v>
      </c>
      <c r="AI6" s="5" t="b">
        <f>FALSE()</f>
        <v>0</v>
      </c>
      <c r="AJ6" s="5" t="b">
        <f>FALSE()</f>
        <v>0</v>
      </c>
      <c r="AK6" s="2" t="s">
        <v>46</v>
      </c>
      <c r="AL6" s="2" t="s">
        <v>46</v>
      </c>
      <c r="AM6" s="3">
        <v>46234</v>
      </c>
    </row>
    <row r="7" spans="1:39" x14ac:dyDescent="0.3">
      <c r="A7" s="2" t="s">
        <v>90</v>
      </c>
      <c r="B7" s="2" t="s">
        <v>40</v>
      </c>
      <c r="C7" s="3">
        <v>46238</v>
      </c>
      <c r="D7" s="2" t="s">
        <v>41</v>
      </c>
      <c r="E7" s="2" t="s">
        <v>91</v>
      </c>
      <c r="F7" s="2" t="s">
        <v>92</v>
      </c>
      <c r="G7" s="2" t="s">
        <v>93</v>
      </c>
      <c r="H7" s="2" t="s">
        <v>65</v>
      </c>
      <c r="I7" s="4">
        <v>1</v>
      </c>
      <c r="J7" s="2" t="s">
        <v>46</v>
      </c>
      <c r="K7" s="2" t="s">
        <v>66</v>
      </c>
      <c r="L7" s="2" t="s">
        <v>94</v>
      </c>
      <c r="M7" s="2" t="s">
        <v>95</v>
      </c>
      <c r="N7" s="2" t="s">
        <v>46</v>
      </c>
      <c r="O7" s="2" t="s">
        <v>68</v>
      </c>
      <c r="P7" s="2" t="s">
        <v>96</v>
      </c>
      <c r="Q7" s="2" t="s">
        <v>46</v>
      </c>
      <c r="R7" s="2" t="s">
        <v>70</v>
      </c>
      <c r="S7" s="2" t="s">
        <v>71</v>
      </c>
      <c r="T7" s="2" t="s">
        <v>46</v>
      </c>
      <c r="U7" s="2" t="s">
        <v>54</v>
      </c>
      <c r="V7" s="2" t="s">
        <v>55</v>
      </c>
      <c r="W7" s="2" t="s">
        <v>46</v>
      </c>
      <c r="X7" s="2" t="s">
        <v>56</v>
      </c>
      <c r="Y7" s="3">
        <v>46234</v>
      </c>
      <c r="Z7" s="2" t="s">
        <v>57</v>
      </c>
      <c r="AA7" s="2" t="s">
        <v>58</v>
      </c>
      <c r="AB7" s="3">
        <v>46387</v>
      </c>
      <c r="AC7" s="2" t="s">
        <v>71</v>
      </c>
      <c r="AD7" s="3">
        <v>46234</v>
      </c>
      <c r="AE7" s="5" t="b">
        <f>TRUE()</f>
        <v>1</v>
      </c>
      <c r="AF7" s="2" t="s">
        <v>46</v>
      </c>
      <c r="AG7" s="2" t="s">
        <v>97</v>
      </c>
      <c r="AH7" s="2" t="s">
        <v>98</v>
      </c>
      <c r="AI7" s="5" t="b">
        <f>FALSE()</f>
        <v>0</v>
      </c>
      <c r="AJ7" s="5" t="b">
        <f>TRUE()</f>
        <v>1</v>
      </c>
      <c r="AK7" s="2" t="s">
        <v>46</v>
      </c>
      <c r="AL7" s="2" t="s">
        <v>46</v>
      </c>
      <c r="AM7" s="3">
        <v>46234</v>
      </c>
    </row>
    <row r="8" spans="1:39" x14ac:dyDescent="0.3">
      <c r="A8" s="2" t="s">
        <v>99</v>
      </c>
      <c r="B8" s="2" t="s">
        <v>40</v>
      </c>
      <c r="C8" s="3">
        <v>46238</v>
      </c>
      <c r="D8" s="2" t="s">
        <v>41</v>
      </c>
      <c r="E8" s="2" t="s">
        <v>100</v>
      </c>
      <c r="F8" s="2" t="s">
        <v>101</v>
      </c>
      <c r="G8" s="2" t="s">
        <v>102</v>
      </c>
      <c r="H8" s="2" t="s">
        <v>103</v>
      </c>
      <c r="I8" s="4">
        <v>1</v>
      </c>
      <c r="J8" s="2" t="s">
        <v>46</v>
      </c>
      <c r="K8" s="2" t="s">
        <v>104</v>
      </c>
      <c r="L8" s="2" t="s">
        <v>46</v>
      </c>
      <c r="M8" s="2" t="s">
        <v>105</v>
      </c>
      <c r="N8" s="2" t="s">
        <v>46</v>
      </c>
      <c r="O8" s="2" t="s">
        <v>106</v>
      </c>
      <c r="P8" s="2" t="s">
        <v>107</v>
      </c>
      <c r="Q8" s="2" t="s">
        <v>46</v>
      </c>
      <c r="R8" s="2" t="s">
        <v>108</v>
      </c>
      <c r="S8" s="2" t="s">
        <v>109</v>
      </c>
      <c r="T8" s="2" t="s">
        <v>46</v>
      </c>
      <c r="U8" s="2" t="s">
        <v>110</v>
      </c>
      <c r="V8" s="2" t="s">
        <v>55</v>
      </c>
      <c r="W8" s="2" t="s">
        <v>46</v>
      </c>
      <c r="X8" s="2" t="s">
        <v>111</v>
      </c>
      <c r="Y8" s="3">
        <v>46234</v>
      </c>
      <c r="Z8" s="2" t="s">
        <v>57</v>
      </c>
      <c r="AA8" s="2" t="s">
        <v>112</v>
      </c>
      <c r="AB8" s="3">
        <v>46387</v>
      </c>
      <c r="AC8" s="2" t="s">
        <v>109</v>
      </c>
      <c r="AD8" s="3">
        <v>46234</v>
      </c>
      <c r="AE8" s="5" t="b">
        <f>TRUE()</f>
        <v>1</v>
      </c>
      <c r="AF8" s="2" t="s">
        <v>46</v>
      </c>
      <c r="AG8" s="2" t="s">
        <v>113</v>
      </c>
      <c r="AH8" s="2" t="s">
        <v>114</v>
      </c>
      <c r="AI8" s="5" t="b">
        <f>FALSE()</f>
        <v>0</v>
      </c>
      <c r="AJ8" s="5" t="b">
        <f>TRUE()</f>
        <v>1</v>
      </c>
      <c r="AK8" s="2" t="s">
        <v>46</v>
      </c>
      <c r="AL8" s="2" t="s">
        <v>46</v>
      </c>
      <c r="AM8" s="3">
        <v>46234</v>
      </c>
    </row>
    <row r="9" spans="1:39" x14ac:dyDescent="0.3">
      <c r="A9" s="2" t="s">
        <v>115</v>
      </c>
      <c r="B9" s="2" t="s">
        <v>40</v>
      </c>
      <c r="C9" s="3">
        <v>46238</v>
      </c>
      <c r="D9" s="2" t="s">
        <v>41</v>
      </c>
      <c r="E9" s="2" t="s">
        <v>42</v>
      </c>
      <c r="F9" s="2" t="s">
        <v>116</v>
      </c>
      <c r="G9" s="2" t="s">
        <v>117</v>
      </c>
      <c r="H9" s="2" t="s">
        <v>89</v>
      </c>
      <c r="I9" s="4">
        <v>1</v>
      </c>
      <c r="J9" s="2" t="s">
        <v>46</v>
      </c>
      <c r="K9" s="2" t="s">
        <v>89</v>
      </c>
      <c r="L9" s="2" t="s">
        <v>46</v>
      </c>
      <c r="M9" s="2" t="s">
        <v>118</v>
      </c>
      <c r="N9" s="2" t="s">
        <v>46</v>
      </c>
      <c r="O9" s="2" t="s">
        <v>119</v>
      </c>
      <c r="P9" s="2" t="s">
        <v>120</v>
      </c>
      <c r="Q9" s="2" t="s">
        <v>46</v>
      </c>
      <c r="R9" s="2" t="s">
        <v>121</v>
      </c>
      <c r="S9" s="2" t="s">
        <v>122</v>
      </c>
      <c r="T9" s="2" t="s">
        <v>46</v>
      </c>
      <c r="U9" s="2" t="s">
        <v>123</v>
      </c>
      <c r="V9" s="2" t="s">
        <v>55</v>
      </c>
      <c r="W9" s="2" t="s">
        <v>46</v>
      </c>
      <c r="X9" s="2" t="s">
        <v>111</v>
      </c>
      <c r="Y9" s="3">
        <v>46233</v>
      </c>
      <c r="Z9" s="2" t="s">
        <v>57</v>
      </c>
      <c r="AA9" s="2" t="s">
        <v>124</v>
      </c>
      <c r="AB9" s="3">
        <v>46326</v>
      </c>
      <c r="AC9" s="2" t="s">
        <v>122</v>
      </c>
      <c r="AD9" s="3">
        <v>46233</v>
      </c>
      <c r="AE9" s="5" t="b">
        <f>TRUE()</f>
        <v>1</v>
      </c>
      <c r="AF9" s="2" t="s">
        <v>46</v>
      </c>
      <c r="AG9" s="2" t="s">
        <v>125</v>
      </c>
      <c r="AH9" s="2" t="s">
        <v>126</v>
      </c>
      <c r="AI9" s="5" t="b">
        <f>FALSE()</f>
        <v>0</v>
      </c>
      <c r="AJ9" s="5" t="b">
        <f>TRUE()</f>
        <v>1</v>
      </c>
      <c r="AK9" s="2" t="s">
        <v>46</v>
      </c>
      <c r="AL9" s="2" t="s">
        <v>46</v>
      </c>
      <c r="AM9" s="3">
        <v>46233</v>
      </c>
    </row>
    <row r="10" spans="1:39" x14ac:dyDescent="0.3">
      <c r="A10" s="2" t="s">
        <v>127</v>
      </c>
      <c r="B10" s="2" t="s">
        <v>40</v>
      </c>
      <c r="C10" s="3">
        <v>46238</v>
      </c>
      <c r="D10" s="2" t="s">
        <v>41</v>
      </c>
      <c r="E10" s="2" t="s">
        <v>42</v>
      </c>
      <c r="F10" s="2" t="s">
        <v>128</v>
      </c>
      <c r="G10" s="2" t="s">
        <v>129</v>
      </c>
      <c r="H10" s="2" t="s">
        <v>130</v>
      </c>
      <c r="I10" s="4">
        <v>1</v>
      </c>
      <c r="J10" s="2" t="s">
        <v>46</v>
      </c>
      <c r="K10" s="2" t="s">
        <v>130</v>
      </c>
      <c r="L10" s="2" t="s">
        <v>46</v>
      </c>
      <c r="M10" s="2" t="s">
        <v>131</v>
      </c>
      <c r="N10" s="2" t="s">
        <v>46</v>
      </c>
      <c r="O10" s="2" t="s">
        <v>132</v>
      </c>
      <c r="P10" s="2" t="s">
        <v>133</v>
      </c>
      <c r="Q10" s="2" t="s">
        <v>46</v>
      </c>
      <c r="R10" s="2" t="s">
        <v>134</v>
      </c>
      <c r="S10" s="2" t="s">
        <v>135</v>
      </c>
      <c r="T10" s="2" t="s">
        <v>46</v>
      </c>
      <c r="U10" s="2" t="s">
        <v>136</v>
      </c>
      <c r="V10" s="2" t="s">
        <v>55</v>
      </c>
      <c r="W10" s="2" t="s">
        <v>46</v>
      </c>
      <c r="X10" s="2" t="s">
        <v>73</v>
      </c>
      <c r="Y10" s="3">
        <v>46233</v>
      </c>
      <c r="Z10" s="2" t="s">
        <v>57</v>
      </c>
      <c r="AA10" s="2" t="s">
        <v>124</v>
      </c>
      <c r="AB10" s="3">
        <v>46430</v>
      </c>
      <c r="AC10" s="2" t="s">
        <v>135</v>
      </c>
      <c r="AD10" s="3">
        <v>46233</v>
      </c>
      <c r="AE10" s="5" t="b">
        <f>TRUE()</f>
        <v>1</v>
      </c>
      <c r="AF10" s="2" t="s">
        <v>46</v>
      </c>
      <c r="AG10" s="2" t="s">
        <v>137</v>
      </c>
      <c r="AH10" s="2" t="s">
        <v>138</v>
      </c>
      <c r="AI10" s="5" t="b">
        <f>FALSE()</f>
        <v>0</v>
      </c>
      <c r="AJ10" s="5" t="b">
        <f>TRUE()</f>
        <v>1</v>
      </c>
      <c r="AK10" s="2" t="s">
        <v>46</v>
      </c>
      <c r="AL10" s="2" t="s">
        <v>46</v>
      </c>
      <c r="AM10" s="3">
        <v>46233</v>
      </c>
    </row>
    <row r="11" spans="1:39" x14ac:dyDescent="0.3">
      <c r="A11" s="2" t="s">
        <v>139</v>
      </c>
      <c r="B11" s="2" t="s">
        <v>40</v>
      </c>
      <c r="C11" s="3">
        <v>46238</v>
      </c>
      <c r="D11" s="2" t="s">
        <v>41</v>
      </c>
      <c r="E11" s="2" t="s">
        <v>140</v>
      </c>
      <c r="F11" s="2" t="s">
        <v>141</v>
      </c>
      <c r="G11" s="2" t="s">
        <v>142</v>
      </c>
      <c r="H11" s="2" t="s">
        <v>130</v>
      </c>
      <c r="I11" s="4">
        <v>1</v>
      </c>
      <c r="J11" s="2" t="s">
        <v>46</v>
      </c>
      <c r="K11" s="2" t="s">
        <v>130</v>
      </c>
      <c r="L11" s="2" t="s">
        <v>46</v>
      </c>
      <c r="M11" s="2" t="s">
        <v>143</v>
      </c>
      <c r="N11" s="2" t="s">
        <v>46</v>
      </c>
      <c r="O11" s="2" t="s">
        <v>132</v>
      </c>
      <c r="P11" s="2" t="s">
        <v>144</v>
      </c>
      <c r="Q11" s="2" t="s">
        <v>145</v>
      </c>
      <c r="R11" s="2" t="s">
        <v>146</v>
      </c>
      <c r="S11" s="2" t="s">
        <v>147</v>
      </c>
      <c r="T11" s="2" t="s">
        <v>46</v>
      </c>
      <c r="U11" s="2" t="s">
        <v>148</v>
      </c>
      <c r="V11" s="2" t="s">
        <v>55</v>
      </c>
      <c r="W11" s="2" t="s">
        <v>46</v>
      </c>
      <c r="X11" s="2" t="s">
        <v>149</v>
      </c>
      <c r="Y11" s="3">
        <v>46233</v>
      </c>
      <c r="Z11" s="2" t="s">
        <v>57</v>
      </c>
      <c r="AA11" s="2" t="s">
        <v>124</v>
      </c>
      <c r="AB11" s="3">
        <v>46387</v>
      </c>
      <c r="AC11" s="2" t="s">
        <v>147</v>
      </c>
      <c r="AD11" s="3">
        <v>46233</v>
      </c>
      <c r="AE11" s="5" t="b">
        <f>TRUE()</f>
        <v>1</v>
      </c>
      <c r="AF11" s="2" t="s">
        <v>46</v>
      </c>
      <c r="AG11" s="2" t="s">
        <v>150</v>
      </c>
      <c r="AH11" s="2" t="s">
        <v>151</v>
      </c>
      <c r="AI11" s="5" t="b">
        <f>FALSE()</f>
        <v>0</v>
      </c>
      <c r="AJ11" s="5" t="b">
        <f>TRUE()</f>
        <v>1</v>
      </c>
      <c r="AK11" s="2" t="s">
        <v>46</v>
      </c>
      <c r="AL11" s="2" t="s">
        <v>46</v>
      </c>
      <c r="AM11" s="3">
        <v>46233</v>
      </c>
    </row>
    <row r="12" spans="1:39" x14ac:dyDescent="0.3">
      <c r="A12" s="2" t="s">
        <v>152</v>
      </c>
      <c r="B12" s="2" t="s">
        <v>40</v>
      </c>
      <c r="C12" s="3">
        <v>46238</v>
      </c>
      <c r="D12" s="2" t="s">
        <v>41</v>
      </c>
      <c r="E12" s="2" t="s">
        <v>42</v>
      </c>
      <c r="F12" s="2" t="s">
        <v>153</v>
      </c>
      <c r="G12" s="2" t="s">
        <v>154</v>
      </c>
      <c r="H12" s="2" t="s">
        <v>104</v>
      </c>
      <c r="I12" s="4">
        <v>1</v>
      </c>
      <c r="J12" s="2" t="s">
        <v>46</v>
      </c>
      <c r="K12" s="2" t="s">
        <v>104</v>
      </c>
      <c r="L12" s="2" t="s">
        <v>46</v>
      </c>
      <c r="M12" s="2" t="s">
        <v>155</v>
      </c>
      <c r="N12" s="2" t="s">
        <v>46</v>
      </c>
      <c r="O12" s="2" t="s">
        <v>156</v>
      </c>
      <c r="P12" s="2" t="s">
        <v>157</v>
      </c>
      <c r="Q12" s="2" t="s">
        <v>46</v>
      </c>
      <c r="R12" s="2" t="s">
        <v>158</v>
      </c>
      <c r="S12" s="2" t="s">
        <v>159</v>
      </c>
      <c r="T12" s="2" t="s">
        <v>46</v>
      </c>
      <c r="U12" s="2" t="s">
        <v>160</v>
      </c>
      <c r="V12" s="2" t="s">
        <v>55</v>
      </c>
      <c r="W12" s="2" t="s">
        <v>46</v>
      </c>
      <c r="X12" s="2" t="s">
        <v>161</v>
      </c>
      <c r="Y12" s="3">
        <v>46232</v>
      </c>
      <c r="Z12" s="2" t="s">
        <v>57</v>
      </c>
      <c r="AA12" s="2" t="s">
        <v>124</v>
      </c>
      <c r="AB12" s="3">
        <v>46387</v>
      </c>
      <c r="AC12" s="2" t="s">
        <v>159</v>
      </c>
      <c r="AD12" s="3">
        <v>46232</v>
      </c>
      <c r="AE12" s="5" t="b">
        <f>TRUE()</f>
        <v>1</v>
      </c>
      <c r="AF12" s="2" t="s">
        <v>46</v>
      </c>
      <c r="AG12" s="2" t="s">
        <v>162</v>
      </c>
      <c r="AH12" s="2" t="s">
        <v>163</v>
      </c>
      <c r="AI12" s="5" t="b">
        <f>FALSE()</f>
        <v>0</v>
      </c>
      <c r="AJ12" s="5" t="b">
        <f>TRUE()</f>
        <v>1</v>
      </c>
      <c r="AK12" s="2" t="s">
        <v>46</v>
      </c>
      <c r="AL12" s="2" t="s">
        <v>46</v>
      </c>
      <c r="AM12" s="3">
        <v>46232</v>
      </c>
    </row>
    <row r="13" spans="1:39" x14ac:dyDescent="0.3">
      <c r="A13" s="2" t="s">
        <v>164</v>
      </c>
      <c r="B13" s="2" t="s">
        <v>40</v>
      </c>
      <c r="C13" s="3">
        <v>46238</v>
      </c>
      <c r="D13" s="2" t="s">
        <v>41</v>
      </c>
      <c r="E13" s="2" t="s">
        <v>165</v>
      </c>
      <c r="F13" s="2" t="s">
        <v>166</v>
      </c>
      <c r="G13" s="2" t="s">
        <v>167</v>
      </c>
      <c r="H13" s="2" t="s">
        <v>168</v>
      </c>
      <c r="I13" s="4">
        <v>1.5</v>
      </c>
      <c r="J13" s="2" t="s">
        <v>46</v>
      </c>
      <c r="K13" s="2" t="s">
        <v>104</v>
      </c>
      <c r="L13" s="2" t="s">
        <v>46</v>
      </c>
      <c r="M13" s="2" t="s">
        <v>169</v>
      </c>
      <c r="N13" s="2" t="s">
        <v>46</v>
      </c>
      <c r="O13" s="2" t="s">
        <v>156</v>
      </c>
      <c r="P13" s="2" t="s">
        <v>170</v>
      </c>
      <c r="Q13" s="2" t="s">
        <v>171</v>
      </c>
      <c r="R13" s="2" t="s">
        <v>172</v>
      </c>
      <c r="S13" s="2" t="s">
        <v>173</v>
      </c>
      <c r="T13" s="2" t="s">
        <v>46</v>
      </c>
      <c r="U13" s="2" t="s">
        <v>54</v>
      </c>
      <c r="V13" s="2" t="s">
        <v>55</v>
      </c>
      <c r="W13" s="2" t="s">
        <v>46</v>
      </c>
      <c r="X13" s="2" t="s">
        <v>46</v>
      </c>
      <c r="Y13" s="3">
        <v>46232</v>
      </c>
      <c r="Z13" s="2" t="s">
        <v>74</v>
      </c>
      <c r="AA13" s="2" t="s">
        <v>46</v>
      </c>
      <c r="AB13" s="3"/>
      <c r="AC13" s="2" t="s">
        <v>173</v>
      </c>
      <c r="AD13" s="3">
        <v>46232</v>
      </c>
      <c r="AE13" s="5" t="b">
        <f>TRUE()</f>
        <v>1</v>
      </c>
      <c r="AF13" s="2" t="s">
        <v>46</v>
      </c>
      <c r="AG13" s="2" t="s">
        <v>174</v>
      </c>
      <c r="AH13" s="2" t="s">
        <v>175</v>
      </c>
      <c r="AI13" s="5" t="b">
        <f>FALSE()</f>
        <v>0</v>
      </c>
      <c r="AJ13" s="5" t="b">
        <f>FALSE()</f>
        <v>0</v>
      </c>
      <c r="AK13" s="2" t="s">
        <v>46</v>
      </c>
      <c r="AL13" s="2" t="s">
        <v>46</v>
      </c>
      <c r="AM13" s="3">
        <v>46232</v>
      </c>
    </row>
    <row r="14" spans="1:39" x14ac:dyDescent="0.3">
      <c r="A14" s="2" t="s">
        <v>176</v>
      </c>
      <c r="B14" s="2" t="s">
        <v>40</v>
      </c>
      <c r="C14" s="3">
        <v>46238</v>
      </c>
      <c r="D14" s="2" t="s">
        <v>41</v>
      </c>
      <c r="E14" s="2" t="s">
        <v>165</v>
      </c>
      <c r="F14" s="2" t="s">
        <v>177</v>
      </c>
      <c r="G14" s="2" t="s">
        <v>167</v>
      </c>
      <c r="H14" s="2" t="s">
        <v>168</v>
      </c>
      <c r="I14" s="4">
        <v>1.5</v>
      </c>
      <c r="J14" s="2" t="s">
        <v>46</v>
      </c>
      <c r="K14" s="2" t="s">
        <v>104</v>
      </c>
      <c r="L14" s="2" t="s">
        <v>46</v>
      </c>
      <c r="M14" s="2" t="s">
        <v>178</v>
      </c>
      <c r="N14" s="2" t="s">
        <v>46</v>
      </c>
      <c r="O14" s="2" t="s">
        <v>179</v>
      </c>
      <c r="P14" s="2" t="s">
        <v>180</v>
      </c>
      <c r="Q14" s="2" t="s">
        <v>46</v>
      </c>
      <c r="R14" s="2" t="s">
        <v>181</v>
      </c>
      <c r="S14" s="2" t="s">
        <v>182</v>
      </c>
      <c r="T14" s="2" t="s">
        <v>46</v>
      </c>
      <c r="U14" s="2" t="s">
        <v>183</v>
      </c>
      <c r="V14" s="2" t="s">
        <v>179</v>
      </c>
      <c r="W14" s="2" t="s">
        <v>46</v>
      </c>
      <c r="X14" s="2" t="s">
        <v>46</v>
      </c>
      <c r="Y14" s="3">
        <v>46232</v>
      </c>
      <c r="Z14" s="2" t="s">
        <v>74</v>
      </c>
      <c r="AA14" s="2" t="s">
        <v>46</v>
      </c>
      <c r="AB14" s="3"/>
      <c r="AC14" s="2" t="s">
        <v>182</v>
      </c>
      <c r="AD14" s="3">
        <v>46232</v>
      </c>
      <c r="AE14" s="5" t="b">
        <f>TRUE()</f>
        <v>1</v>
      </c>
      <c r="AF14" s="2" t="s">
        <v>46</v>
      </c>
      <c r="AG14" s="2" t="s">
        <v>184</v>
      </c>
      <c r="AH14" s="2" t="s">
        <v>185</v>
      </c>
      <c r="AI14" s="5" t="b">
        <f>FALSE()</f>
        <v>0</v>
      </c>
      <c r="AJ14" s="5" t="b">
        <f>FALSE()</f>
        <v>0</v>
      </c>
      <c r="AK14" s="2" t="s">
        <v>46</v>
      </c>
      <c r="AL14" s="2" t="s">
        <v>46</v>
      </c>
      <c r="AM14" s="3">
        <v>46232</v>
      </c>
    </row>
    <row r="15" spans="1:39" x14ac:dyDescent="0.3">
      <c r="A15" s="2" t="s">
        <v>186</v>
      </c>
      <c r="B15" s="2" t="s">
        <v>40</v>
      </c>
      <c r="C15" s="3">
        <v>46238</v>
      </c>
      <c r="D15" s="2" t="s">
        <v>41</v>
      </c>
      <c r="E15" s="2" t="s">
        <v>165</v>
      </c>
      <c r="F15" s="2" t="s">
        <v>187</v>
      </c>
      <c r="G15" s="2" t="s">
        <v>167</v>
      </c>
      <c r="H15" s="2" t="s">
        <v>168</v>
      </c>
      <c r="I15" s="4">
        <v>1.5</v>
      </c>
      <c r="J15" s="2" t="s">
        <v>46</v>
      </c>
      <c r="K15" s="2" t="s">
        <v>104</v>
      </c>
      <c r="L15" s="2" t="s">
        <v>46</v>
      </c>
      <c r="M15" s="2" t="s">
        <v>188</v>
      </c>
      <c r="N15" s="2" t="s">
        <v>46</v>
      </c>
      <c r="O15" s="2" t="s">
        <v>179</v>
      </c>
      <c r="P15" s="2" t="s">
        <v>189</v>
      </c>
      <c r="Q15" s="2" t="s">
        <v>46</v>
      </c>
      <c r="R15" s="2" t="s">
        <v>190</v>
      </c>
      <c r="S15" s="2" t="s">
        <v>191</v>
      </c>
      <c r="T15" s="2" t="s">
        <v>46</v>
      </c>
      <c r="U15" s="2" t="s">
        <v>54</v>
      </c>
      <c r="V15" s="2" t="s">
        <v>179</v>
      </c>
      <c r="W15" s="2" t="s">
        <v>46</v>
      </c>
      <c r="X15" s="2" t="s">
        <v>46</v>
      </c>
      <c r="Y15" s="3">
        <v>46232</v>
      </c>
      <c r="Z15" s="2" t="s">
        <v>74</v>
      </c>
      <c r="AA15" s="2" t="s">
        <v>46</v>
      </c>
      <c r="AB15" s="3"/>
      <c r="AC15" s="2" t="s">
        <v>191</v>
      </c>
      <c r="AD15" s="3">
        <v>46232</v>
      </c>
      <c r="AE15" s="5" t="b">
        <f>TRUE()</f>
        <v>1</v>
      </c>
      <c r="AF15" s="2" t="s">
        <v>46</v>
      </c>
      <c r="AG15" s="2" t="s">
        <v>46</v>
      </c>
      <c r="AH15" s="2" t="s">
        <v>192</v>
      </c>
      <c r="AI15" s="5" t="b">
        <f>FALSE()</f>
        <v>0</v>
      </c>
      <c r="AJ15" s="5" t="b">
        <f>FALSE()</f>
        <v>0</v>
      </c>
      <c r="AK15" s="2" t="s">
        <v>46</v>
      </c>
      <c r="AL15" s="2" t="s">
        <v>46</v>
      </c>
      <c r="AM15" s="3">
        <v>46232</v>
      </c>
    </row>
    <row r="16" spans="1:39" x14ac:dyDescent="0.3">
      <c r="A16" s="2" t="s">
        <v>193</v>
      </c>
      <c r="B16" s="2" t="s">
        <v>40</v>
      </c>
      <c r="C16" s="3">
        <v>46238</v>
      </c>
      <c r="D16" s="2" t="s">
        <v>41</v>
      </c>
      <c r="E16" s="2" t="s">
        <v>194</v>
      </c>
      <c r="F16" s="2" t="s">
        <v>195</v>
      </c>
      <c r="G16" s="2" t="s">
        <v>196</v>
      </c>
      <c r="H16" s="2" t="s">
        <v>47</v>
      </c>
      <c r="I16" s="4">
        <v>4</v>
      </c>
      <c r="J16" s="2" t="s">
        <v>197</v>
      </c>
      <c r="K16" s="2" t="s">
        <v>47</v>
      </c>
      <c r="L16" s="2" t="s">
        <v>198</v>
      </c>
      <c r="M16" s="2" t="s">
        <v>199</v>
      </c>
      <c r="N16" s="2" t="s">
        <v>46</v>
      </c>
      <c r="O16" s="2" t="s">
        <v>50</v>
      </c>
      <c r="P16" s="2" t="s">
        <v>200</v>
      </c>
      <c r="Q16" s="2" t="s">
        <v>201</v>
      </c>
      <c r="R16" s="2" t="s">
        <v>202</v>
      </c>
      <c r="S16" s="2" t="s">
        <v>203</v>
      </c>
      <c r="T16" s="2" t="s">
        <v>46</v>
      </c>
      <c r="U16" s="2" t="s">
        <v>46</v>
      </c>
      <c r="V16" s="2" t="s">
        <v>55</v>
      </c>
      <c r="W16" s="2" t="s">
        <v>46</v>
      </c>
      <c r="X16" s="2" t="s">
        <v>46</v>
      </c>
      <c r="Y16" s="3">
        <v>46230</v>
      </c>
      <c r="Z16" s="2" t="s">
        <v>57</v>
      </c>
      <c r="AA16" s="2" t="s">
        <v>46</v>
      </c>
      <c r="AB16" s="3"/>
      <c r="AC16" s="2" t="s">
        <v>46</v>
      </c>
      <c r="AD16" s="3">
        <v>46230</v>
      </c>
      <c r="AE16" s="5" t="b">
        <f>TRUE()</f>
        <v>1</v>
      </c>
      <c r="AF16" s="2" t="s">
        <v>47</v>
      </c>
      <c r="AG16" s="2" t="s">
        <v>46</v>
      </c>
      <c r="AH16" s="2" t="s">
        <v>204</v>
      </c>
      <c r="AI16" s="5" t="b">
        <f>FALSE()</f>
        <v>0</v>
      </c>
      <c r="AJ16" s="5" t="b">
        <f>FALSE()</f>
        <v>0</v>
      </c>
      <c r="AK16" s="2" t="s">
        <v>46</v>
      </c>
      <c r="AL16" s="2" t="s">
        <v>46</v>
      </c>
      <c r="AM16" s="3">
        <v>46230</v>
      </c>
    </row>
    <row r="17" spans="1:39" x14ac:dyDescent="0.3">
      <c r="A17" s="2" t="s">
        <v>205</v>
      </c>
      <c r="B17" s="2" t="s">
        <v>40</v>
      </c>
      <c r="C17" s="3">
        <v>46238</v>
      </c>
      <c r="D17" s="2" t="s">
        <v>41</v>
      </c>
      <c r="E17" s="2" t="s">
        <v>194</v>
      </c>
      <c r="F17" s="2" t="s">
        <v>195</v>
      </c>
      <c r="G17" s="2" t="s">
        <v>46</v>
      </c>
      <c r="H17" s="2" t="s">
        <v>130</v>
      </c>
      <c r="I17" s="4">
        <v>4</v>
      </c>
      <c r="J17" s="2" t="s">
        <v>197</v>
      </c>
      <c r="K17" s="2" t="s">
        <v>47</v>
      </c>
      <c r="L17" s="2" t="s">
        <v>198</v>
      </c>
      <c r="M17" s="2" t="s">
        <v>199</v>
      </c>
      <c r="N17" s="2" t="s">
        <v>46</v>
      </c>
      <c r="O17" s="2" t="s">
        <v>50</v>
      </c>
      <c r="P17" s="2" t="s">
        <v>200</v>
      </c>
      <c r="Q17" s="2" t="s">
        <v>201</v>
      </c>
      <c r="R17" s="2" t="s">
        <v>202</v>
      </c>
      <c r="S17" s="2" t="s">
        <v>203</v>
      </c>
      <c r="T17" s="2" t="s">
        <v>46</v>
      </c>
      <c r="U17" s="2" t="s">
        <v>46</v>
      </c>
      <c r="V17" s="2" t="s">
        <v>55</v>
      </c>
      <c r="W17" s="2" t="s">
        <v>46</v>
      </c>
      <c r="X17" s="2" t="s">
        <v>46</v>
      </c>
      <c r="Y17" s="3">
        <v>46230</v>
      </c>
      <c r="Z17" s="2" t="s">
        <v>57</v>
      </c>
      <c r="AA17" s="2" t="s">
        <v>46</v>
      </c>
      <c r="AB17" s="3"/>
      <c r="AC17" s="2" t="s">
        <v>46</v>
      </c>
      <c r="AD17" s="3">
        <v>46230</v>
      </c>
      <c r="AE17" s="5" t="b">
        <f>TRUE()</f>
        <v>1</v>
      </c>
      <c r="AF17" s="2" t="s">
        <v>47</v>
      </c>
      <c r="AG17" s="2" t="s">
        <v>46</v>
      </c>
      <c r="AH17" s="2" t="s">
        <v>204</v>
      </c>
      <c r="AI17" s="5" t="b">
        <f>FALSE()</f>
        <v>0</v>
      </c>
      <c r="AJ17" s="5" t="b">
        <f>FALSE()</f>
        <v>0</v>
      </c>
      <c r="AK17" s="2" t="s">
        <v>46</v>
      </c>
      <c r="AL17" s="2" t="s">
        <v>46</v>
      </c>
      <c r="AM17" s="3">
        <v>46230</v>
      </c>
    </row>
    <row r="18" spans="1:39" x14ac:dyDescent="0.3">
      <c r="A18" s="2" t="s">
        <v>206</v>
      </c>
      <c r="B18" s="2" t="s">
        <v>40</v>
      </c>
      <c r="C18" s="3">
        <v>46238</v>
      </c>
      <c r="D18" s="2" t="s">
        <v>41</v>
      </c>
      <c r="E18" s="2" t="s">
        <v>42</v>
      </c>
      <c r="F18" s="2" t="s">
        <v>207</v>
      </c>
      <c r="G18" s="2" t="s">
        <v>208</v>
      </c>
      <c r="H18" s="2" t="s">
        <v>209</v>
      </c>
      <c r="I18" s="4">
        <v>1</v>
      </c>
      <c r="J18" s="2" t="s">
        <v>46</v>
      </c>
      <c r="K18" s="2" t="s">
        <v>210</v>
      </c>
      <c r="L18" s="2" t="s">
        <v>46</v>
      </c>
      <c r="M18" s="2" t="s">
        <v>211</v>
      </c>
      <c r="N18" s="2" t="s">
        <v>46</v>
      </c>
      <c r="O18" s="2" t="s">
        <v>212</v>
      </c>
      <c r="P18" s="2" t="s">
        <v>213</v>
      </c>
      <c r="Q18" s="2" t="s">
        <v>46</v>
      </c>
      <c r="R18" s="2" t="s">
        <v>214</v>
      </c>
      <c r="S18" s="2" t="s">
        <v>215</v>
      </c>
      <c r="T18" s="2" t="s">
        <v>46</v>
      </c>
      <c r="U18" s="2" t="s">
        <v>216</v>
      </c>
      <c r="V18" s="2" t="s">
        <v>55</v>
      </c>
      <c r="W18" s="2" t="s">
        <v>46</v>
      </c>
      <c r="X18" s="2" t="s">
        <v>161</v>
      </c>
      <c r="Y18" s="3">
        <v>46226</v>
      </c>
      <c r="Z18" s="2" t="s">
        <v>57</v>
      </c>
      <c r="AA18" s="2" t="s">
        <v>124</v>
      </c>
      <c r="AB18" s="3">
        <v>46356</v>
      </c>
      <c r="AC18" s="2" t="s">
        <v>215</v>
      </c>
      <c r="AD18" s="3">
        <v>46226</v>
      </c>
      <c r="AE18" s="5" t="b">
        <f>TRUE()</f>
        <v>1</v>
      </c>
      <c r="AF18" s="2" t="s">
        <v>46</v>
      </c>
      <c r="AG18" s="2" t="s">
        <v>217</v>
      </c>
      <c r="AH18" s="2" t="s">
        <v>218</v>
      </c>
      <c r="AI18" s="5" t="b">
        <f>FALSE()</f>
        <v>0</v>
      </c>
      <c r="AJ18" s="5" t="b">
        <f>TRUE()</f>
        <v>1</v>
      </c>
      <c r="AK18" s="2" t="s">
        <v>46</v>
      </c>
      <c r="AL18" s="2" t="s">
        <v>46</v>
      </c>
      <c r="AM18" s="3">
        <v>46226</v>
      </c>
    </row>
    <row r="19" spans="1:39" x14ac:dyDescent="0.3">
      <c r="A19" s="2" t="s">
        <v>219</v>
      </c>
      <c r="B19" s="2" t="s">
        <v>40</v>
      </c>
      <c r="C19" s="3">
        <v>46238</v>
      </c>
      <c r="D19" s="2" t="s">
        <v>41</v>
      </c>
      <c r="E19" s="2" t="s">
        <v>79</v>
      </c>
      <c r="F19" s="2" t="s">
        <v>80</v>
      </c>
      <c r="G19" s="2" t="s">
        <v>220</v>
      </c>
      <c r="H19" s="2" t="s">
        <v>221</v>
      </c>
      <c r="I19" s="4">
        <v>1.5</v>
      </c>
      <c r="J19" s="2" t="s">
        <v>46</v>
      </c>
      <c r="K19" s="2" t="s">
        <v>221</v>
      </c>
      <c r="L19" s="2" t="s">
        <v>46</v>
      </c>
      <c r="M19" s="2" t="s">
        <v>80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46</v>
      </c>
      <c r="S19" s="2" t="s">
        <v>46</v>
      </c>
      <c r="T19" s="2" t="s">
        <v>46</v>
      </c>
      <c r="U19" s="2" t="s">
        <v>46</v>
      </c>
      <c r="V19" s="2" t="s">
        <v>46</v>
      </c>
      <c r="W19" s="2" t="s">
        <v>46</v>
      </c>
      <c r="X19" s="2" t="s">
        <v>46</v>
      </c>
      <c r="Y19" s="3">
        <v>46231</v>
      </c>
      <c r="Z19" s="2" t="s">
        <v>57</v>
      </c>
      <c r="AA19" s="2" t="s">
        <v>46</v>
      </c>
      <c r="AB19" s="3"/>
      <c r="AC19" s="2" t="s">
        <v>46</v>
      </c>
      <c r="AD19" s="3">
        <v>46226</v>
      </c>
      <c r="AE19" s="5" t="b">
        <f>TRUE()</f>
        <v>1</v>
      </c>
      <c r="AF19" s="2" t="s">
        <v>46</v>
      </c>
      <c r="AG19" s="2" t="s">
        <v>46</v>
      </c>
      <c r="AH19" s="2" t="s">
        <v>83</v>
      </c>
      <c r="AI19" s="5" t="b">
        <f>FALSE()</f>
        <v>0</v>
      </c>
      <c r="AJ19" s="5" t="b">
        <f>FALSE()</f>
        <v>0</v>
      </c>
      <c r="AK19" s="2" t="s">
        <v>46</v>
      </c>
      <c r="AL19" s="2" t="s">
        <v>46</v>
      </c>
      <c r="AM19" s="3">
        <v>46226</v>
      </c>
    </row>
    <row r="20" spans="1:39" x14ac:dyDescent="0.3">
      <c r="A20" s="2" t="s">
        <v>222</v>
      </c>
      <c r="B20" s="2" t="s">
        <v>40</v>
      </c>
      <c r="C20" s="3">
        <v>46238</v>
      </c>
      <c r="D20" s="2" t="s">
        <v>41</v>
      </c>
      <c r="E20" s="2" t="s">
        <v>223</v>
      </c>
      <c r="F20" s="2" t="s">
        <v>224</v>
      </c>
      <c r="G20" s="2" t="s">
        <v>46</v>
      </c>
      <c r="H20" s="2" t="s">
        <v>45</v>
      </c>
      <c r="I20" s="4">
        <v>1.75</v>
      </c>
      <c r="J20" s="2" t="s">
        <v>46</v>
      </c>
      <c r="K20" s="2" t="s">
        <v>225</v>
      </c>
      <c r="L20" s="2" t="s">
        <v>226</v>
      </c>
      <c r="M20" s="2" t="s">
        <v>227</v>
      </c>
      <c r="N20" s="2" t="s">
        <v>46</v>
      </c>
      <c r="O20" s="2" t="s">
        <v>228</v>
      </c>
      <c r="P20" s="2" t="s">
        <v>229</v>
      </c>
      <c r="Q20" s="2" t="s">
        <v>46</v>
      </c>
      <c r="R20" s="2" t="s">
        <v>230</v>
      </c>
      <c r="S20" s="2" t="s">
        <v>231</v>
      </c>
      <c r="T20" s="2" t="s">
        <v>46</v>
      </c>
      <c r="U20" s="2" t="s">
        <v>46</v>
      </c>
      <c r="V20" s="2" t="s">
        <v>55</v>
      </c>
      <c r="W20" s="2" t="s">
        <v>46</v>
      </c>
      <c r="X20" s="2" t="s">
        <v>46</v>
      </c>
      <c r="Y20" s="3">
        <v>46224</v>
      </c>
      <c r="Z20" s="2" t="s">
        <v>57</v>
      </c>
      <c r="AA20" s="2" t="s">
        <v>46</v>
      </c>
      <c r="AB20" s="3"/>
      <c r="AC20" s="2" t="s">
        <v>232</v>
      </c>
      <c r="AD20" s="3">
        <v>46224</v>
      </c>
      <c r="AE20" s="5" t="b">
        <f>TRUE()</f>
        <v>1</v>
      </c>
      <c r="AF20" s="2" t="s">
        <v>46</v>
      </c>
      <c r="AG20" s="2" t="s">
        <v>233</v>
      </c>
      <c r="AH20" s="2" t="s">
        <v>234</v>
      </c>
      <c r="AI20" s="5" t="b">
        <f>FALSE()</f>
        <v>0</v>
      </c>
      <c r="AJ20" s="5" t="b">
        <f>TRUE()</f>
        <v>1</v>
      </c>
      <c r="AK20" s="2" t="s">
        <v>46</v>
      </c>
      <c r="AL20" s="2" t="s">
        <v>46</v>
      </c>
      <c r="AM20" s="3">
        <v>46224</v>
      </c>
    </row>
    <row r="21" spans="1:39" x14ac:dyDescent="0.3">
      <c r="A21" s="2" t="s">
        <v>235</v>
      </c>
      <c r="B21" s="2" t="s">
        <v>40</v>
      </c>
      <c r="C21" s="3">
        <v>46238</v>
      </c>
      <c r="D21" s="2" t="s">
        <v>41</v>
      </c>
      <c r="E21" s="2" t="s">
        <v>223</v>
      </c>
      <c r="F21" s="2" t="s">
        <v>236</v>
      </c>
      <c r="G21" s="2" t="s">
        <v>46</v>
      </c>
      <c r="H21" s="2" t="s">
        <v>210</v>
      </c>
      <c r="I21" s="4">
        <v>1.5</v>
      </c>
      <c r="J21" s="2" t="s">
        <v>46</v>
      </c>
      <c r="K21" s="2" t="s">
        <v>237</v>
      </c>
      <c r="L21" s="2" t="s">
        <v>238</v>
      </c>
      <c r="M21" s="2" t="s">
        <v>239</v>
      </c>
      <c r="N21" s="2" t="s">
        <v>46</v>
      </c>
      <c r="O21" s="2" t="s">
        <v>240</v>
      </c>
      <c r="P21" s="2" t="s">
        <v>241</v>
      </c>
      <c r="Q21" s="2" t="s">
        <v>46</v>
      </c>
      <c r="R21" s="2" t="s">
        <v>242</v>
      </c>
      <c r="S21" s="2" t="s">
        <v>243</v>
      </c>
      <c r="T21" s="2" t="s">
        <v>46</v>
      </c>
      <c r="U21" s="2" t="s">
        <v>244</v>
      </c>
      <c r="V21" s="2" t="s">
        <v>55</v>
      </c>
      <c r="W21" s="2" t="s">
        <v>46</v>
      </c>
      <c r="X21" s="2" t="s">
        <v>46</v>
      </c>
      <c r="Y21" s="3">
        <v>46224</v>
      </c>
      <c r="Z21" s="2" t="s">
        <v>57</v>
      </c>
      <c r="AA21" s="2" t="s">
        <v>46</v>
      </c>
      <c r="AB21" s="3"/>
      <c r="AC21" s="2" t="s">
        <v>245</v>
      </c>
      <c r="AD21" s="3">
        <v>46224</v>
      </c>
      <c r="AE21" s="5" t="b">
        <f>TRUE()</f>
        <v>1</v>
      </c>
      <c r="AF21" s="2" t="s">
        <v>46</v>
      </c>
      <c r="AG21" s="2" t="s">
        <v>246</v>
      </c>
      <c r="AH21" s="2" t="s">
        <v>247</v>
      </c>
      <c r="AI21" s="5" t="b">
        <f>FALSE()</f>
        <v>0</v>
      </c>
      <c r="AJ21" s="5" t="b">
        <f>TRUE()</f>
        <v>1</v>
      </c>
      <c r="AK21" s="2" t="s">
        <v>46</v>
      </c>
      <c r="AL21" s="2" t="s">
        <v>46</v>
      </c>
      <c r="AM21" s="3">
        <v>46224</v>
      </c>
    </row>
    <row r="22" spans="1:39" x14ac:dyDescent="0.3">
      <c r="A22" s="2" t="s">
        <v>248</v>
      </c>
      <c r="B22" s="2" t="s">
        <v>40</v>
      </c>
      <c r="C22" s="3">
        <v>46238</v>
      </c>
      <c r="D22" s="2" t="s">
        <v>41</v>
      </c>
      <c r="E22" s="2" t="s">
        <v>249</v>
      </c>
      <c r="F22" s="2" t="s">
        <v>250</v>
      </c>
      <c r="G22" s="2" t="s">
        <v>251</v>
      </c>
      <c r="H22" s="2" t="s">
        <v>252</v>
      </c>
      <c r="I22" s="4">
        <v>1.5</v>
      </c>
      <c r="J22" s="2" t="s">
        <v>46</v>
      </c>
      <c r="K22" s="2" t="s">
        <v>130</v>
      </c>
      <c r="L22" s="2" t="s">
        <v>253</v>
      </c>
      <c r="M22" s="2" t="s">
        <v>254</v>
      </c>
      <c r="N22" s="2" t="s">
        <v>46</v>
      </c>
      <c r="O22" s="2" t="s">
        <v>255</v>
      </c>
      <c r="P22" s="2" t="s">
        <v>256</v>
      </c>
      <c r="Q22" s="2" t="s">
        <v>257</v>
      </c>
      <c r="R22" s="2" t="s">
        <v>258</v>
      </c>
      <c r="S22" s="2" t="s">
        <v>259</v>
      </c>
      <c r="T22" s="2" t="s">
        <v>46</v>
      </c>
      <c r="U22" s="2" t="s">
        <v>260</v>
      </c>
      <c r="V22" s="2" t="s">
        <v>55</v>
      </c>
      <c r="W22" s="2" t="s">
        <v>46</v>
      </c>
      <c r="X22" s="2" t="s">
        <v>46</v>
      </c>
      <c r="Y22" s="3">
        <v>46238</v>
      </c>
      <c r="Z22" s="2" t="s">
        <v>57</v>
      </c>
      <c r="AA22" s="2" t="s">
        <v>46</v>
      </c>
      <c r="AB22" s="3"/>
      <c r="AC22" s="2" t="s">
        <v>46</v>
      </c>
      <c r="AD22" s="3">
        <v>46216</v>
      </c>
      <c r="AE22" s="5" t="b">
        <f>TRUE()</f>
        <v>1</v>
      </c>
      <c r="AF22" s="2" t="s">
        <v>46</v>
      </c>
      <c r="AG22" s="2" t="s">
        <v>261</v>
      </c>
      <c r="AH22" s="2" t="s">
        <v>262</v>
      </c>
      <c r="AI22" s="5" t="b">
        <f>FALSE()</f>
        <v>0</v>
      </c>
      <c r="AJ22" s="5" t="b">
        <f>FALSE()</f>
        <v>0</v>
      </c>
      <c r="AK22" s="2" t="s">
        <v>46</v>
      </c>
      <c r="AL22" s="2" t="s">
        <v>46</v>
      </c>
      <c r="AM22" s="3">
        <v>46216</v>
      </c>
    </row>
    <row r="23" spans="1:39" x14ac:dyDescent="0.3">
      <c r="A23" s="2" t="s">
        <v>263</v>
      </c>
      <c r="B23" s="2" t="s">
        <v>40</v>
      </c>
      <c r="C23" s="3">
        <v>46238</v>
      </c>
      <c r="D23" s="2" t="s">
        <v>41</v>
      </c>
      <c r="E23" s="2" t="s">
        <v>223</v>
      </c>
      <c r="F23" s="2" t="s">
        <v>264</v>
      </c>
      <c r="G23" s="2" t="s">
        <v>265</v>
      </c>
      <c r="H23" s="2" t="s">
        <v>210</v>
      </c>
      <c r="I23" s="4">
        <v>1.5</v>
      </c>
      <c r="J23" s="2" t="s">
        <v>46</v>
      </c>
      <c r="K23" s="2" t="s">
        <v>237</v>
      </c>
      <c r="L23" s="2" t="s">
        <v>266</v>
      </c>
      <c r="M23" s="2" t="s">
        <v>239</v>
      </c>
      <c r="N23" s="2" t="s">
        <v>46</v>
      </c>
      <c r="O23" s="2" t="s">
        <v>240</v>
      </c>
      <c r="P23" s="2" t="s">
        <v>267</v>
      </c>
      <c r="Q23" s="2" t="s">
        <v>46</v>
      </c>
      <c r="R23" s="2" t="s">
        <v>268</v>
      </c>
      <c r="S23" s="2" t="s">
        <v>269</v>
      </c>
      <c r="T23" s="2" t="s">
        <v>46</v>
      </c>
      <c r="U23" s="2" t="s">
        <v>244</v>
      </c>
      <c r="V23" s="2" t="s">
        <v>55</v>
      </c>
      <c r="W23" s="2" t="s">
        <v>46</v>
      </c>
      <c r="X23" s="2" t="s">
        <v>46</v>
      </c>
      <c r="Y23" s="3">
        <v>46213</v>
      </c>
      <c r="Z23" s="2" t="s">
        <v>57</v>
      </c>
      <c r="AA23" s="2" t="s">
        <v>46</v>
      </c>
      <c r="AB23" s="3"/>
      <c r="AC23" s="2" t="s">
        <v>245</v>
      </c>
      <c r="AD23" s="3">
        <v>46213</v>
      </c>
      <c r="AE23" s="5" t="b">
        <f>TRUE()</f>
        <v>1</v>
      </c>
      <c r="AF23" s="2" t="s">
        <v>46</v>
      </c>
      <c r="AG23" s="2" t="s">
        <v>270</v>
      </c>
      <c r="AH23" s="2" t="s">
        <v>247</v>
      </c>
      <c r="AI23" s="5" t="b">
        <f>FALSE()</f>
        <v>0</v>
      </c>
      <c r="AJ23" s="5" t="b">
        <f>FALSE()</f>
        <v>0</v>
      </c>
      <c r="AK23" s="2" t="s">
        <v>46</v>
      </c>
      <c r="AL23" s="2" t="s">
        <v>46</v>
      </c>
      <c r="AM23" s="3">
        <v>46213</v>
      </c>
    </row>
    <row r="24" spans="1:39" x14ac:dyDescent="0.3">
      <c r="A24" s="2" t="s">
        <v>271</v>
      </c>
      <c r="B24" s="2" t="s">
        <v>40</v>
      </c>
      <c r="C24" s="3">
        <v>46238</v>
      </c>
      <c r="D24" s="2" t="s">
        <v>41</v>
      </c>
      <c r="E24" s="2" t="s">
        <v>42</v>
      </c>
      <c r="F24" s="2" t="s">
        <v>272</v>
      </c>
      <c r="G24" s="2" t="s">
        <v>273</v>
      </c>
      <c r="H24" s="2" t="s">
        <v>82</v>
      </c>
      <c r="I24" s="4">
        <v>1</v>
      </c>
      <c r="J24" s="2" t="s">
        <v>46</v>
      </c>
      <c r="K24" s="2" t="s">
        <v>274</v>
      </c>
      <c r="L24" s="2" t="s">
        <v>46</v>
      </c>
      <c r="M24" s="2" t="s">
        <v>275</v>
      </c>
      <c r="N24" s="2" t="s">
        <v>46</v>
      </c>
      <c r="O24" s="2" t="s">
        <v>276</v>
      </c>
      <c r="P24" s="2" t="s">
        <v>277</v>
      </c>
      <c r="Q24" s="2" t="s">
        <v>46</v>
      </c>
      <c r="R24" s="2" t="s">
        <v>278</v>
      </c>
      <c r="S24" s="2" t="s">
        <v>279</v>
      </c>
      <c r="T24" s="2" t="s">
        <v>46</v>
      </c>
      <c r="U24" s="2" t="s">
        <v>280</v>
      </c>
      <c r="V24" s="2" t="s">
        <v>55</v>
      </c>
      <c r="W24" s="2" t="s">
        <v>46</v>
      </c>
      <c r="X24" s="2" t="s">
        <v>281</v>
      </c>
      <c r="Y24" s="3">
        <v>46212</v>
      </c>
      <c r="Z24" s="2" t="s">
        <v>57</v>
      </c>
      <c r="AA24" s="2" t="s">
        <v>124</v>
      </c>
      <c r="AB24" s="3">
        <v>46387</v>
      </c>
      <c r="AC24" s="2" t="s">
        <v>279</v>
      </c>
      <c r="AD24" s="3">
        <v>46212</v>
      </c>
      <c r="AE24" s="5" t="b">
        <f>TRUE()</f>
        <v>1</v>
      </c>
      <c r="AF24" s="2" t="s">
        <v>46</v>
      </c>
      <c r="AG24" s="2" t="s">
        <v>282</v>
      </c>
      <c r="AH24" s="2" t="s">
        <v>283</v>
      </c>
      <c r="AI24" s="5" t="b">
        <f>FALSE()</f>
        <v>0</v>
      </c>
      <c r="AJ24" s="5" t="b">
        <f>TRUE()</f>
        <v>1</v>
      </c>
      <c r="AK24" s="2" t="s">
        <v>46</v>
      </c>
      <c r="AL24" s="2" t="s">
        <v>46</v>
      </c>
      <c r="AM24" s="3">
        <v>46212</v>
      </c>
    </row>
    <row r="25" spans="1:39" x14ac:dyDescent="0.3">
      <c r="A25" s="2" t="s">
        <v>284</v>
      </c>
      <c r="B25" s="2" t="s">
        <v>40</v>
      </c>
      <c r="C25" s="3">
        <v>46238</v>
      </c>
      <c r="D25" s="2" t="s">
        <v>41</v>
      </c>
      <c r="E25" s="2" t="s">
        <v>100</v>
      </c>
      <c r="F25" s="2" t="s">
        <v>285</v>
      </c>
      <c r="G25" s="2" t="s">
        <v>286</v>
      </c>
      <c r="H25" s="2" t="s">
        <v>45</v>
      </c>
      <c r="I25" s="4">
        <v>1</v>
      </c>
      <c r="J25" s="2" t="s">
        <v>46</v>
      </c>
      <c r="K25" s="2" t="s">
        <v>221</v>
      </c>
      <c r="L25" s="2" t="s">
        <v>46</v>
      </c>
      <c r="M25" s="2" t="s">
        <v>287</v>
      </c>
      <c r="N25" s="2" t="s">
        <v>46</v>
      </c>
      <c r="O25" s="2" t="s">
        <v>50</v>
      </c>
      <c r="P25" s="2" t="s">
        <v>288</v>
      </c>
      <c r="Q25" s="2" t="s">
        <v>46</v>
      </c>
      <c r="R25" s="2" t="s">
        <v>289</v>
      </c>
      <c r="S25" s="2" t="s">
        <v>290</v>
      </c>
      <c r="T25" s="2" t="s">
        <v>46</v>
      </c>
      <c r="U25" s="2" t="s">
        <v>291</v>
      </c>
      <c r="V25" s="2" t="s">
        <v>55</v>
      </c>
      <c r="W25" s="2" t="s">
        <v>46</v>
      </c>
      <c r="X25" s="2" t="s">
        <v>292</v>
      </c>
      <c r="Y25" s="3">
        <v>46210</v>
      </c>
      <c r="Z25" s="2" t="s">
        <v>57</v>
      </c>
      <c r="AA25" s="2" t="s">
        <v>124</v>
      </c>
      <c r="AB25" s="3">
        <v>46356</v>
      </c>
      <c r="AC25" s="2" t="s">
        <v>290</v>
      </c>
      <c r="AD25" s="3">
        <v>46210</v>
      </c>
      <c r="AE25" s="5" t="b">
        <f>TRUE()</f>
        <v>1</v>
      </c>
      <c r="AF25" s="2" t="s">
        <v>46</v>
      </c>
      <c r="AG25" s="2" t="s">
        <v>293</v>
      </c>
      <c r="AH25" s="2" t="s">
        <v>294</v>
      </c>
      <c r="AI25" s="5" t="b">
        <f>FALSE()</f>
        <v>0</v>
      </c>
      <c r="AJ25" s="5" t="b">
        <f>TRUE()</f>
        <v>1</v>
      </c>
      <c r="AK25" s="2" t="s">
        <v>46</v>
      </c>
      <c r="AL25" s="2" t="s">
        <v>46</v>
      </c>
      <c r="AM25" s="3">
        <v>46210</v>
      </c>
    </row>
    <row r="26" spans="1:39" x14ac:dyDescent="0.3">
      <c r="A26" s="2" t="s">
        <v>295</v>
      </c>
      <c r="B26" s="2" t="s">
        <v>40</v>
      </c>
      <c r="C26" s="3">
        <v>46238</v>
      </c>
      <c r="D26" s="2" t="s">
        <v>41</v>
      </c>
      <c r="E26" s="2" t="s">
        <v>223</v>
      </c>
      <c r="F26" s="2" t="s">
        <v>296</v>
      </c>
      <c r="G26" s="2" t="s">
        <v>297</v>
      </c>
      <c r="H26" s="2" t="s">
        <v>45</v>
      </c>
      <c r="I26" s="4">
        <v>1.5</v>
      </c>
      <c r="J26" s="2" t="s">
        <v>46</v>
      </c>
      <c r="K26" s="2" t="s">
        <v>237</v>
      </c>
      <c r="L26" s="2" t="s">
        <v>298</v>
      </c>
      <c r="M26" s="2" t="s">
        <v>239</v>
      </c>
      <c r="N26" s="2" t="s">
        <v>46</v>
      </c>
      <c r="O26" s="2" t="s">
        <v>240</v>
      </c>
      <c r="P26" s="2" t="s">
        <v>299</v>
      </c>
      <c r="Q26" s="2" t="s">
        <v>46</v>
      </c>
      <c r="R26" s="2" t="s">
        <v>52</v>
      </c>
      <c r="S26" s="2" t="s">
        <v>53</v>
      </c>
      <c r="T26" s="2" t="s">
        <v>46</v>
      </c>
      <c r="U26" s="2" t="s">
        <v>244</v>
      </c>
      <c r="V26" s="2" t="s">
        <v>55</v>
      </c>
      <c r="W26" s="2" t="s">
        <v>46</v>
      </c>
      <c r="X26" s="2" t="s">
        <v>46</v>
      </c>
      <c r="Y26" s="3">
        <v>46203</v>
      </c>
      <c r="Z26" s="2" t="s">
        <v>57</v>
      </c>
      <c r="AA26" s="2" t="s">
        <v>46</v>
      </c>
      <c r="AB26" s="3"/>
      <c r="AC26" s="2" t="s">
        <v>245</v>
      </c>
      <c r="AD26" s="3">
        <v>46203</v>
      </c>
      <c r="AE26" s="5" t="b">
        <f>TRUE()</f>
        <v>1</v>
      </c>
      <c r="AF26" s="2" t="s">
        <v>46</v>
      </c>
      <c r="AG26" s="2" t="s">
        <v>300</v>
      </c>
      <c r="AH26" s="2" t="s">
        <v>247</v>
      </c>
      <c r="AI26" s="5" t="b">
        <f>FALSE()</f>
        <v>0</v>
      </c>
      <c r="AJ26" s="5" t="b">
        <f>TRUE()</f>
        <v>1</v>
      </c>
      <c r="AK26" s="2" t="s">
        <v>46</v>
      </c>
      <c r="AL26" s="2" t="s">
        <v>46</v>
      </c>
      <c r="AM26" s="3">
        <v>46203</v>
      </c>
    </row>
    <row r="27" spans="1:39" x14ac:dyDescent="0.3">
      <c r="A27" s="2" t="s">
        <v>301</v>
      </c>
      <c r="B27" s="2" t="s">
        <v>40</v>
      </c>
      <c r="C27" s="3">
        <v>46238</v>
      </c>
      <c r="D27" s="2" t="s">
        <v>41</v>
      </c>
      <c r="E27" s="2" t="s">
        <v>302</v>
      </c>
      <c r="F27" s="2" t="s">
        <v>303</v>
      </c>
      <c r="G27" s="2" t="s">
        <v>304</v>
      </c>
      <c r="H27" s="2" t="s">
        <v>305</v>
      </c>
      <c r="I27" s="4">
        <v>8</v>
      </c>
      <c r="J27" s="2" t="s">
        <v>306</v>
      </c>
      <c r="K27" s="2" t="s">
        <v>209</v>
      </c>
      <c r="L27" s="2" t="s">
        <v>307</v>
      </c>
      <c r="M27" s="2" t="s">
        <v>308</v>
      </c>
      <c r="N27" s="2" t="s">
        <v>46</v>
      </c>
      <c r="O27" s="2" t="s">
        <v>309</v>
      </c>
      <c r="P27" s="2" t="s">
        <v>310</v>
      </c>
      <c r="Q27" s="2" t="s">
        <v>46</v>
      </c>
      <c r="R27" s="2" t="s">
        <v>311</v>
      </c>
      <c r="S27" s="2" t="s">
        <v>312</v>
      </c>
      <c r="T27" s="2" t="s">
        <v>46</v>
      </c>
      <c r="U27" s="2" t="s">
        <v>46</v>
      </c>
      <c r="V27" s="2" t="s">
        <v>55</v>
      </c>
      <c r="W27" s="2" t="s">
        <v>46</v>
      </c>
      <c r="X27" s="2" t="s">
        <v>46</v>
      </c>
      <c r="Y27" s="3">
        <v>46238</v>
      </c>
      <c r="Z27" s="2" t="s">
        <v>57</v>
      </c>
      <c r="AA27" s="2" t="s">
        <v>46</v>
      </c>
      <c r="AB27" s="3"/>
      <c r="AC27" s="2" t="s">
        <v>46</v>
      </c>
      <c r="AD27" s="3">
        <v>46191</v>
      </c>
      <c r="AE27" s="5" t="b">
        <f>TRUE()</f>
        <v>1</v>
      </c>
      <c r="AF27" s="2" t="s">
        <v>46</v>
      </c>
      <c r="AG27" s="2" t="s">
        <v>46</v>
      </c>
      <c r="AH27" s="2" t="s">
        <v>313</v>
      </c>
      <c r="AI27" s="5" t="b">
        <f>FALSE()</f>
        <v>0</v>
      </c>
      <c r="AJ27" s="5" t="b">
        <f>FALSE()</f>
        <v>0</v>
      </c>
      <c r="AK27" s="2" t="s">
        <v>46</v>
      </c>
      <c r="AL27" s="2" t="s">
        <v>46</v>
      </c>
      <c r="AM27" s="3">
        <v>46191</v>
      </c>
    </row>
    <row r="28" spans="1:39" x14ac:dyDescent="0.3">
      <c r="A28" s="2" t="s">
        <v>314</v>
      </c>
      <c r="B28" s="2" t="s">
        <v>40</v>
      </c>
      <c r="C28" s="3">
        <v>46238</v>
      </c>
      <c r="D28" s="2" t="s">
        <v>41</v>
      </c>
      <c r="E28" s="2" t="s">
        <v>315</v>
      </c>
      <c r="F28" s="2" t="s">
        <v>316</v>
      </c>
      <c r="G28" s="2" t="s">
        <v>317</v>
      </c>
      <c r="H28" s="2" t="s">
        <v>318</v>
      </c>
      <c r="I28" s="4">
        <v>8</v>
      </c>
      <c r="J28" s="2" t="s">
        <v>319</v>
      </c>
      <c r="K28" s="2" t="s">
        <v>66</v>
      </c>
      <c r="L28" s="2" t="s">
        <v>320</v>
      </c>
      <c r="M28" s="2" t="s">
        <v>321</v>
      </c>
      <c r="N28" s="2" t="s">
        <v>46</v>
      </c>
      <c r="O28" s="2" t="s">
        <v>322</v>
      </c>
      <c r="P28" s="2" t="s">
        <v>323</v>
      </c>
      <c r="Q28" s="2" t="s">
        <v>46</v>
      </c>
      <c r="R28" s="2" t="s">
        <v>324</v>
      </c>
      <c r="S28" s="2" t="s">
        <v>325</v>
      </c>
      <c r="T28" s="2" t="s">
        <v>46</v>
      </c>
      <c r="U28" s="2" t="s">
        <v>54</v>
      </c>
      <c r="V28" s="2" t="s">
        <v>55</v>
      </c>
      <c r="W28" s="2" t="s">
        <v>46</v>
      </c>
      <c r="X28" s="2" t="s">
        <v>46</v>
      </c>
      <c r="Y28" s="3">
        <v>46238</v>
      </c>
      <c r="Z28" s="2" t="s">
        <v>57</v>
      </c>
      <c r="AA28" s="2" t="s">
        <v>46</v>
      </c>
      <c r="AB28" s="3"/>
      <c r="AC28" s="2" t="s">
        <v>46</v>
      </c>
      <c r="AD28" s="3">
        <v>46129</v>
      </c>
      <c r="AE28" s="5" t="b">
        <f>TRUE()</f>
        <v>1</v>
      </c>
      <c r="AF28" s="2" t="s">
        <v>46</v>
      </c>
      <c r="AG28" s="2" t="s">
        <v>326</v>
      </c>
      <c r="AH28" s="2" t="s">
        <v>327</v>
      </c>
      <c r="AI28" s="5" t="b">
        <f>FALSE()</f>
        <v>0</v>
      </c>
      <c r="AJ28" s="5" t="b">
        <f>FALSE()</f>
        <v>0</v>
      </c>
      <c r="AK28" s="2" t="s">
        <v>46</v>
      </c>
      <c r="AL28" s="2" t="s">
        <v>46</v>
      </c>
      <c r="AM28" s="3">
        <v>46129</v>
      </c>
    </row>
    <row r="29" spans="1:39" x14ac:dyDescent="0.3">
      <c r="A29" s="2" t="s">
        <v>328</v>
      </c>
      <c r="B29" s="2" t="s">
        <v>40</v>
      </c>
      <c r="C29" s="3">
        <v>46238</v>
      </c>
      <c r="D29" s="2" t="s">
        <v>41</v>
      </c>
      <c r="E29" s="2" t="s">
        <v>315</v>
      </c>
      <c r="F29" s="2" t="s">
        <v>329</v>
      </c>
      <c r="G29" s="2" t="s">
        <v>330</v>
      </c>
      <c r="H29" s="2" t="s">
        <v>331</v>
      </c>
      <c r="I29" s="4">
        <v>8</v>
      </c>
      <c r="J29" s="2" t="s">
        <v>332</v>
      </c>
      <c r="K29" s="2" t="s">
        <v>333</v>
      </c>
      <c r="L29" s="2" t="s">
        <v>334</v>
      </c>
      <c r="M29" s="2" t="s">
        <v>335</v>
      </c>
      <c r="N29" s="2" t="s">
        <v>46</v>
      </c>
      <c r="O29" s="2" t="s">
        <v>336</v>
      </c>
      <c r="P29" s="2" t="s">
        <v>337</v>
      </c>
      <c r="Q29" s="2" t="s">
        <v>46</v>
      </c>
      <c r="R29" s="2" t="s">
        <v>338</v>
      </c>
      <c r="S29" s="2" t="s">
        <v>339</v>
      </c>
      <c r="T29" s="2" t="s">
        <v>46</v>
      </c>
      <c r="U29" s="2" t="s">
        <v>54</v>
      </c>
      <c r="V29" s="2" t="s">
        <v>55</v>
      </c>
      <c r="W29" s="2" t="s">
        <v>46</v>
      </c>
      <c r="X29" s="2" t="s">
        <v>46</v>
      </c>
      <c r="Y29" s="3">
        <v>46231</v>
      </c>
      <c r="Z29" s="2" t="s">
        <v>57</v>
      </c>
      <c r="AA29" s="2" t="s">
        <v>46</v>
      </c>
      <c r="AB29" s="3"/>
      <c r="AC29" s="2" t="s">
        <v>46</v>
      </c>
      <c r="AD29" s="3">
        <v>46114</v>
      </c>
      <c r="AE29" s="5" t="b">
        <f>TRUE()</f>
        <v>1</v>
      </c>
      <c r="AF29" s="2" t="s">
        <v>46</v>
      </c>
      <c r="AG29" s="2" t="s">
        <v>46</v>
      </c>
      <c r="AH29" s="2" t="s">
        <v>340</v>
      </c>
      <c r="AI29" s="5" t="b">
        <f>FALSE()</f>
        <v>0</v>
      </c>
      <c r="AJ29" s="5" t="b">
        <f>FALSE()</f>
        <v>0</v>
      </c>
      <c r="AK29" s="2" t="s">
        <v>46</v>
      </c>
      <c r="AL29" s="2" t="s">
        <v>46</v>
      </c>
      <c r="AM29" s="3">
        <v>46114</v>
      </c>
    </row>
    <row r="30" spans="1:39" x14ac:dyDescent="0.3">
      <c r="A30" s="2" t="s">
        <v>341</v>
      </c>
      <c r="B30" s="2" t="s">
        <v>40</v>
      </c>
      <c r="C30" s="3">
        <v>46238</v>
      </c>
      <c r="D30" s="2" t="s">
        <v>41</v>
      </c>
      <c r="E30" s="2" t="s">
        <v>342</v>
      </c>
      <c r="F30" s="2" t="s">
        <v>343</v>
      </c>
      <c r="G30" s="2" t="s">
        <v>46</v>
      </c>
      <c r="H30" s="2" t="s">
        <v>344</v>
      </c>
      <c r="I30" s="4">
        <v>1.05</v>
      </c>
      <c r="J30" s="2" t="s">
        <v>46</v>
      </c>
      <c r="K30" s="2" t="s">
        <v>331</v>
      </c>
      <c r="L30" s="2" t="s">
        <v>46</v>
      </c>
      <c r="M30" s="2" t="s">
        <v>345</v>
      </c>
      <c r="N30" s="2" t="s">
        <v>46</v>
      </c>
      <c r="O30" s="2" t="s">
        <v>346</v>
      </c>
      <c r="P30" s="2" t="s">
        <v>347</v>
      </c>
      <c r="Q30" s="2" t="s">
        <v>348</v>
      </c>
      <c r="R30" s="2" t="s">
        <v>349</v>
      </c>
      <c r="S30" s="2" t="s">
        <v>350</v>
      </c>
      <c r="T30" s="2" t="s">
        <v>46</v>
      </c>
      <c r="U30" s="2" t="s">
        <v>351</v>
      </c>
      <c r="V30" s="2" t="s">
        <v>55</v>
      </c>
      <c r="W30" s="2" t="s">
        <v>46</v>
      </c>
      <c r="X30" s="2" t="s">
        <v>111</v>
      </c>
      <c r="Y30" s="3">
        <v>46173</v>
      </c>
      <c r="Z30" s="2" t="s">
        <v>57</v>
      </c>
      <c r="AA30" s="2" t="s">
        <v>124</v>
      </c>
      <c r="AB30" s="3">
        <v>46422</v>
      </c>
      <c r="AC30" s="2" t="s">
        <v>350</v>
      </c>
      <c r="AD30" s="3">
        <v>46173</v>
      </c>
      <c r="AE30" s="5" t="b">
        <f>TRUE()</f>
        <v>1</v>
      </c>
      <c r="AF30" s="2" t="s">
        <v>46</v>
      </c>
      <c r="AG30" s="2" t="s">
        <v>352</v>
      </c>
      <c r="AH30" s="2" t="s">
        <v>353</v>
      </c>
      <c r="AI30" s="5" t="b">
        <f>FALSE()</f>
        <v>0</v>
      </c>
      <c r="AJ30" s="5" t="b">
        <f>TRUE()</f>
        <v>1</v>
      </c>
      <c r="AK30" s="2" t="s">
        <v>46</v>
      </c>
      <c r="AL30" s="2" t="s">
        <v>46</v>
      </c>
      <c r="AM30" s="3">
        <v>46106</v>
      </c>
    </row>
    <row r="31" spans="1:39" x14ac:dyDescent="0.3">
      <c r="A31" s="2" t="s">
        <v>354</v>
      </c>
      <c r="B31" s="2" t="s">
        <v>40</v>
      </c>
      <c r="C31" s="3">
        <v>46238</v>
      </c>
      <c r="D31" s="2" t="s">
        <v>41</v>
      </c>
      <c r="E31" s="2" t="s">
        <v>315</v>
      </c>
      <c r="F31" s="2" t="s">
        <v>355</v>
      </c>
      <c r="G31" s="2" t="s">
        <v>317</v>
      </c>
      <c r="H31" s="2" t="s">
        <v>86</v>
      </c>
      <c r="I31" s="4">
        <v>8</v>
      </c>
      <c r="J31" s="2" t="s">
        <v>356</v>
      </c>
      <c r="K31" s="2" t="s">
        <v>333</v>
      </c>
      <c r="L31" s="2" t="s">
        <v>357</v>
      </c>
      <c r="M31" s="2" t="s">
        <v>358</v>
      </c>
      <c r="N31" s="2" t="s">
        <v>46</v>
      </c>
      <c r="O31" s="2" t="s">
        <v>336</v>
      </c>
      <c r="P31" s="2" t="s">
        <v>359</v>
      </c>
      <c r="Q31" s="2" t="s">
        <v>46</v>
      </c>
      <c r="R31" s="2" t="s">
        <v>360</v>
      </c>
      <c r="S31" s="2" t="s">
        <v>361</v>
      </c>
      <c r="T31" s="2" t="s">
        <v>46</v>
      </c>
      <c r="U31" s="2" t="s">
        <v>54</v>
      </c>
      <c r="V31" s="2" t="s">
        <v>55</v>
      </c>
      <c r="W31" s="2" t="s">
        <v>46</v>
      </c>
      <c r="X31" s="2" t="s">
        <v>46</v>
      </c>
      <c r="Y31" s="3">
        <v>46238</v>
      </c>
      <c r="Z31" s="2" t="s">
        <v>57</v>
      </c>
      <c r="AA31" s="2" t="s">
        <v>46</v>
      </c>
      <c r="AB31" s="3"/>
      <c r="AC31" s="2" t="s">
        <v>46</v>
      </c>
      <c r="AD31" s="3">
        <v>46097</v>
      </c>
      <c r="AE31" s="5" t="b">
        <f>TRUE()</f>
        <v>1</v>
      </c>
      <c r="AF31" s="2" t="s">
        <v>46</v>
      </c>
      <c r="AG31" s="2" t="s">
        <v>46</v>
      </c>
      <c r="AH31" s="2" t="s">
        <v>362</v>
      </c>
      <c r="AI31" s="5" t="b">
        <f>FALSE()</f>
        <v>0</v>
      </c>
      <c r="AJ31" s="5" t="b">
        <f>FALSE()</f>
        <v>0</v>
      </c>
      <c r="AK31" s="2" t="s">
        <v>46</v>
      </c>
      <c r="AL31" s="2" t="s">
        <v>46</v>
      </c>
      <c r="AM31" s="3">
        <v>46097</v>
      </c>
    </row>
    <row r="32" spans="1:39" x14ac:dyDescent="0.3">
      <c r="A32" s="2" t="s">
        <v>363</v>
      </c>
      <c r="B32" s="2" t="s">
        <v>40</v>
      </c>
      <c r="C32" s="3">
        <v>46238</v>
      </c>
      <c r="D32" s="2" t="s">
        <v>41</v>
      </c>
      <c r="E32" s="2" t="s">
        <v>249</v>
      </c>
      <c r="F32" s="2" t="s">
        <v>364</v>
      </c>
      <c r="G32" s="2" t="s">
        <v>365</v>
      </c>
      <c r="H32" s="2" t="s">
        <v>366</v>
      </c>
      <c r="I32" s="4">
        <v>1.5</v>
      </c>
      <c r="J32" s="2" t="s">
        <v>46</v>
      </c>
      <c r="K32" s="2" t="s">
        <v>367</v>
      </c>
      <c r="L32" s="2" t="s">
        <v>368</v>
      </c>
      <c r="M32" s="2" t="s">
        <v>369</v>
      </c>
      <c r="N32" s="2" t="s">
        <v>46</v>
      </c>
      <c r="O32" s="2" t="s">
        <v>370</v>
      </c>
      <c r="P32" s="2" t="s">
        <v>371</v>
      </c>
      <c r="Q32" s="2" t="s">
        <v>46</v>
      </c>
      <c r="R32" s="2" t="s">
        <v>372</v>
      </c>
      <c r="S32" s="2" t="s">
        <v>373</v>
      </c>
      <c r="T32" s="2" t="s">
        <v>46</v>
      </c>
      <c r="U32" s="2" t="s">
        <v>374</v>
      </c>
      <c r="V32" s="2" t="s">
        <v>55</v>
      </c>
      <c r="W32" s="2" t="s">
        <v>46</v>
      </c>
      <c r="X32" s="2" t="s">
        <v>46</v>
      </c>
      <c r="Y32" s="3">
        <v>46134</v>
      </c>
      <c r="Z32" s="2" t="s">
        <v>74</v>
      </c>
      <c r="AA32" s="2" t="s">
        <v>46</v>
      </c>
      <c r="AB32" s="3"/>
      <c r="AC32" s="2" t="s">
        <v>46</v>
      </c>
      <c r="AD32" s="3">
        <v>46080</v>
      </c>
      <c r="AE32" s="5" t="b">
        <f>TRUE()</f>
        <v>1</v>
      </c>
      <c r="AF32" s="2" t="s">
        <v>46</v>
      </c>
      <c r="AG32" s="2" t="s">
        <v>375</v>
      </c>
      <c r="AH32" s="2" t="s">
        <v>376</v>
      </c>
      <c r="AI32" s="5" t="b">
        <f>FALSE()</f>
        <v>0</v>
      </c>
      <c r="AJ32" s="5" t="b">
        <f>FALSE()</f>
        <v>0</v>
      </c>
      <c r="AK32" s="2" t="s">
        <v>46</v>
      </c>
      <c r="AL32" s="2" t="s">
        <v>46</v>
      </c>
      <c r="AM32" s="3">
        <v>46080</v>
      </c>
    </row>
    <row r="33" spans="1:39" x14ac:dyDescent="0.3">
      <c r="A33" s="2" t="s">
        <v>377</v>
      </c>
      <c r="B33" s="2" t="s">
        <v>40</v>
      </c>
      <c r="C33" s="3">
        <v>46238</v>
      </c>
      <c r="D33" s="2" t="s">
        <v>41</v>
      </c>
      <c r="E33" s="2" t="s">
        <v>249</v>
      </c>
      <c r="F33" s="2" t="s">
        <v>364</v>
      </c>
      <c r="G33" s="2" t="s">
        <v>365</v>
      </c>
      <c r="H33" s="2" t="s">
        <v>378</v>
      </c>
      <c r="I33" s="4">
        <v>1.5</v>
      </c>
      <c r="J33" s="2" t="s">
        <v>46</v>
      </c>
      <c r="K33" s="2" t="s">
        <v>367</v>
      </c>
      <c r="L33" s="2" t="s">
        <v>368</v>
      </c>
      <c r="M33" s="2" t="s">
        <v>369</v>
      </c>
      <c r="N33" s="2" t="s">
        <v>46</v>
      </c>
      <c r="O33" s="2" t="s">
        <v>370</v>
      </c>
      <c r="P33" s="2" t="s">
        <v>371</v>
      </c>
      <c r="Q33" s="2" t="s">
        <v>46</v>
      </c>
      <c r="R33" s="2" t="s">
        <v>372</v>
      </c>
      <c r="S33" s="2" t="s">
        <v>373</v>
      </c>
      <c r="T33" s="2" t="s">
        <v>46</v>
      </c>
      <c r="U33" s="2" t="s">
        <v>374</v>
      </c>
      <c r="V33" s="2" t="s">
        <v>55</v>
      </c>
      <c r="W33" s="2" t="s">
        <v>46</v>
      </c>
      <c r="X33" s="2" t="s">
        <v>46</v>
      </c>
      <c r="Y33" s="3">
        <v>46134</v>
      </c>
      <c r="Z33" s="2" t="s">
        <v>74</v>
      </c>
      <c r="AA33" s="2" t="s">
        <v>46</v>
      </c>
      <c r="AB33" s="3"/>
      <c r="AC33" s="2" t="s">
        <v>46</v>
      </c>
      <c r="AD33" s="3">
        <v>46080</v>
      </c>
      <c r="AE33" s="5" t="b">
        <f>TRUE()</f>
        <v>1</v>
      </c>
      <c r="AF33" s="2" t="s">
        <v>46</v>
      </c>
      <c r="AG33" s="2" t="s">
        <v>375</v>
      </c>
      <c r="AH33" s="2" t="s">
        <v>376</v>
      </c>
      <c r="AI33" s="5" t="b">
        <f>FALSE()</f>
        <v>0</v>
      </c>
      <c r="AJ33" s="5" t="b">
        <f>FALSE()</f>
        <v>0</v>
      </c>
      <c r="AK33" s="2" t="s">
        <v>46</v>
      </c>
      <c r="AL33" s="2" t="s">
        <v>46</v>
      </c>
      <c r="AM33" s="3">
        <v>46080</v>
      </c>
    </row>
    <row r="34" spans="1:39" x14ac:dyDescent="0.3">
      <c r="A34" s="2" t="s">
        <v>379</v>
      </c>
      <c r="B34" s="2" t="s">
        <v>40</v>
      </c>
      <c r="C34" s="3">
        <v>46238</v>
      </c>
      <c r="D34" s="2" t="s">
        <v>41</v>
      </c>
      <c r="E34" s="2" t="s">
        <v>380</v>
      </c>
      <c r="F34" s="2" t="s">
        <v>381</v>
      </c>
      <c r="G34" s="2" t="s">
        <v>46</v>
      </c>
      <c r="H34" s="2" t="s">
        <v>103</v>
      </c>
      <c r="I34" s="4">
        <v>2.0499999999999998</v>
      </c>
      <c r="J34" s="2" t="s">
        <v>46</v>
      </c>
      <c r="K34" s="2" t="s">
        <v>104</v>
      </c>
      <c r="L34" s="2" t="s">
        <v>46</v>
      </c>
      <c r="M34" s="2" t="s">
        <v>382</v>
      </c>
      <c r="N34" s="2" t="s">
        <v>46</v>
      </c>
      <c r="O34" s="2" t="s">
        <v>106</v>
      </c>
      <c r="P34" s="2" t="s">
        <v>383</v>
      </c>
      <c r="Q34" s="2" t="s">
        <v>46</v>
      </c>
      <c r="R34" s="2" t="s">
        <v>384</v>
      </c>
      <c r="S34" s="2" t="s">
        <v>385</v>
      </c>
      <c r="T34" s="2" t="s">
        <v>46</v>
      </c>
      <c r="U34" s="2" t="s">
        <v>386</v>
      </c>
      <c r="V34" s="2" t="s">
        <v>55</v>
      </c>
      <c r="W34" s="2" t="s">
        <v>46</v>
      </c>
      <c r="X34" s="2" t="s">
        <v>73</v>
      </c>
      <c r="Y34" s="3">
        <v>46203</v>
      </c>
      <c r="Z34" s="2" t="s">
        <v>57</v>
      </c>
      <c r="AA34" s="2" t="s">
        <v>124</v>
      </c>
      <c r="AB34" s="3">
        <v>46446</v>
      </c>
      <c r="AC34" s="2" t="s">
        <v>385</v>
      </c>
      <c r="AD34" s="3">
        <v>46203</v>
      </c>
      <c r="AE34" s="5" t="b">
        <f>TRUE()</f>
        <v>1</v>
      </c>
      <c r="AF34" s="2" t="s">
        <v>46</v>
      </c>
      <c r="AG34" s="2" t="s">
        <v>387</v>
      </c>
      <c r="AH34" s="2" t="s">
        <v>388</v>
      </c>
      <c r="AI34" s="5" t="b">
        <f>FALSE()</f>
        <v>0</v>
      </c>
      <c r="AJ34" s="5" t="b">
        <f>FALSE()</f>
        <v>0</v>
      </c>
      <c r="AK34" s="2" t="s">
        <v>46</v>
      </c>
      <c r="AL34" s="2" t="s">
        <v>46</v>
      </c>
      <c r="AM34" s="3">
        <v>46031</v>
      </c>
    </row>
    <row r="35" spans="1:39" x14ac:dyDescent="0.3">
      <c r="A35" s="2" t="s">
        <v>389</v>
      </c>
      <c r="B35" s="2" t="s">
        <v>40</v>
      </c>
      <c r="C35" s="3">
        <v>46238</v>
      </c>
      <c r="D35" s="2" t="s">
        <v>41</v>
      </c>
      <c r="E35" s="2" t="s">
        <v>390</v>
      </c>
      <c r="F35" s="2" t="s">
        <v>391</v>
      </c>
      <c r="G35" s="2" t="s">
        <v>46</v>
      </c>
      <c r="H35" s="2" t="s">
        <v>392</v>
      </c>
      <c r="I35" s="4">
        <v>8.85</v>
      </c>
      <c r="J35" s="2" t="s">
        <v>46</v>
      </c>
      <c r="K35" s="2" t="s">
        <v>393</v>
      </c>
      <c r="L35" s="2" t="s">
        <v>46</v>
      </c>
      <c r="M35" s="2" t="s">
        <v>394</v>
      </c>
      <c r="N35" s="2" t="s">
        <v>46</v>
      </c>
      <c r="O35" s="2" t="s">
        <v>228</v>
      </c>
      <c r="P35" s="2" t="s">
        <v>395</v>
      </c>
      <c r="Q35" s="2" t="s">
        <v>46</v>
      </c>
      <c r="R35" s="2" t="s">
        <v>396</v>
      </c>
      <c r="S35" s="2" t="s">
        <v>397</v>
      </c>
      <c r="T35" s="2" t="s">
        <v>46</v>
      </c>
      <c r="U35" s="2" t="s">
        <v>398</v>
      </c>
      <c r="V35" s="2" t="s">
        <v>55</v>
      </c>
      <c r="W35" s="2" t="s">
        <v>46</v>
      </c>
      <c r="X35" s="2" t="s">
        <v>111</v>
      </c>
      <c r="Y35" s="3">
        <v>46265</v>
      </c>
      <c r="Z35" s="2" t="s">
        <v>74</v>
      </c>
      <c r="AA35" s="2" t="s">
        <v>75</v>
      </c>
      <c r="AB35" s="3">
        <v>46387</v>
      </c>
      <c r="AC35" s="2" t="s">
        <v>397</v>
      </c>
      <c r="AD35" s="3">
        <v>46265</v>
      </c>
      <c r="AE35" s="5" t="b">
        <f>TRUE()</f>
        <v>1</v>
      </c>
      <c r="AF35" s="2" t="s">
        <v>46</v>
      </c>
      <c r="AG35" s="2" t="s">
        <v>399</v>
      </c>
      <c r="AH35" s="2" t="s">
        <v>400</v>
      </c>
      <c r="AI35" s="5" t="b">
        <f>FALSE()</f>
        <v>0</v>
      </c>
      <c r="AJ35" s="5" t="b">
        <f>FALSE()</f>
        <v>0</v>
      </c>
      <c r="AK35" s="2" t="s">
        <v>46</v>
      </c>
      <c r="AL35" s="2" t="s">
        <v>46</v>
      </c>
      <c r="AM35" s="3">
        <v>46034</v>
      </c>
    </row>
    <row r="36" spans="1:39" x14ac:dyDescent="0.3">
      <c r="A36" s="2" t="s">
        <v>401</v>
      </c>
      <c r="B36" s="2" t="s">
        <v>40</v>
      </c>
      <c r="C36" s="3">
        <v>46238</v>
      </c>
      <c r="D36" s="2" t="s">
        <v>41</v>
      </c>
      <c r="E36" s="2" t="s">
        <v>390</v>
      </c>
      <c r="F36" s="2" t="s">
        <v>402</v>
      </c>
      <c r="G36" s="2" t="s">
        <v>46</v>
      </c>
      <c r="H36" s="2" t="s">
        <v>392</v>
      </c>
      <c r="I36" s="4">
        <v>2.25</v>
      </c>
      <c r="J36" s="2" t="s">
        <v>46</v>
      </c>
      <c r="K36" s="2" t="s">
        <v>393</v>
      </c>
      <c r="L36" s="2" t="s">
        <v>46</v>
      </c>
      <c r="M36" s="2" t="s">
        <v>403</v>
      </c>
      <c r="N36" s="2" t="s">
        <v>46</v>
      </c>
      <c r="O36" s="2" t="s">
        <v>228</v>
      </c>
      <c r="P36" s="2" t="s">
        <v>395</v>
      </c>
      <c r="Q36" s="2" t="s">
        <v>46</v>
      </c>
      <c r="R36" s="2" t="s">
        <v>396</v>
      </c>
      <c r="S36" s="2" t="s">
        <v>397</v>
      </c>
      <c r="T36" s="2" t="s">
        <v>46</v>
      </c>
      <c r="U36" s="2" t="s">
        <v>398</v>
      </c>
      <c r="V36" s="2" t="s">
        <v>55</v>
      </c>
      <c r="W36" s="2" t="s">
        <v>46</v>
      </c>
      <c r="X36" s="2" t="s">
        <v>111</v>
      </c>
      <c r="Y36" s="3">
        <v>46265</v>
      </c>
      <c r="Z36" s="2" t="s">
        <v>57</v>
      </c>
      <c r="AA36" s="2" t="s">
        <v>75</v>
      </c>
      <c r="AB36" s="3">
        <v>46387</v>
      </c>
      <c r="AC36" s="2" t="s">
        <v>397</v>
      </c>
      <c r="AD36" s="3">
        <v>46265</v>
      </c>
      <c r="AE36" s="5" t="b">
        <f>TRUE()</f>
        <v>1</v>
      </c>
      <c r="AF36" s="2" t="s">
        <v>46</v>
      </c>
      <c r="AG36" s="2" t="s">
        <v>399</v>
      </c>
      <c r="AH36" s="2" t="s">
        <v>404</v>
      </c>
      <c r="AI36" s="5" t="b">
        <f>FALSE()</f>
        <v>0</v>
      </c>
      <c r="AJ36" s="5" t="b">
        <f>FALSE()</f>
        <v>0</v>
      </c>
      <c r="AK36" s="2" t="s">
        <v>46</v>
      </c>
      <c r="AL36" s="2" t="s">
        <v>46</v>
      </c>
      <c r="AM36" s="3">
        <v>46034</v>
      </c>
    </row>
    <row r="37" spans="1:39" x14ac:dyDescent="0.3">
      <c r="A37" s="2" t="s">
        <v>405</v>
      </c>
      <c r="B37" s="2" t="s">
        <v>40</v>
      </c>
      <c r="C37" s="3">
        <v>46238</v>
      </c>
      <c r="D37" s="2" t="s">
        <v>41</v>
      </c>
      <c r="E37" s="2" t="s">
        <v>380</v>
      </c>
      <c r="F37" s="2" t="s">
        <v>406</v>
      </c>
      <c r="G37" s="2" t="s">
        <v>46</v>
      </c>
      <c r="H37" s="2" t="s">
        <v>103</v>
      </c>
      <c r="I37" s="4">
        <v>1.4</v>
      </c>
      <c r="J37" s="2" t="s">
        <v>46</v>
      </c>
      <c r="K37" s="2" t="s">
        <v>407</v>
      </c>
      <c r="L37" s="2" t="s">
        <v>46</v>
      </c>
      <c r="M37" s="2" t="s">
        <v>408</v>
      </c>
      <c r="N37" s="2" t="s">
        <v>46</v>
      </c>
      <c r="O37" s="2" t="s">
        <v>409</v>
      </c>
      <c r="P37" s="2" t="s">
        <v>410</v>
      </c>
      <c r="Q37" s="2" t="s">
        <v>411</v>
      </c>
      <c r="R37" s="2" t="s">
        <v>412</v>
      </c>
      <c r="S37" s="2" t="s">
        <v>413</v>
      </c>
      <c r="T37" s="2" t="s">
        <v>46</v>
      </c>
      <c r="U37" s="2" t="s">
        <v>414</v>
      </c>
      <c r="V37" s="2" t="s">
        <v>409</v>
      </c>
      <c r="W37" s="2" t="s">
        <v>46</v>
      </c>
      <c r="X37" s="2" t="s">
        <v>111</v>
      </c>
      <c r="Y37" s="3">
        <v>46142</v>
      </c>
      <c r="Z37" s="2" t="s">
        <v>74</v>
      </c>
      <c r="AA37" s="2" t="s">
        <v>58</v>
      </c>
      <c r="AB37" s="3">
        <v>46387</v>
      </c>
      <c r="AC37" s="2" t="s">
        <v>413</v>
      </c>
      <c r="AD37" s="3">
        <v>46142</v>
      </c>
      <c r="AE37" s="5" t="b">
        <f>TRUE()</f>
        <v>1</v>
      </c>
      <c r="AF37" s="2" t="s">
        <v>46</v>
      </c>
      <c r="AG37" s="2" t="s">
        <v>46</v>
      </c>
      <c r="AH37" s="2" t="s">
        <v>415</v>
      </c>
      <c r="AI37" s="5" t="b">
        <f>FALSE()</f>
        <v>0</v>
      </c>
      <c r="AJ37" s="5" t="b">
        <f>FALSE()</f>
        <v>0</v>
      </c>
      <c r="AK37" s="2" t="s">
        <v>46</v>
      </c>
      <c r="AL37" s="2" t="s">
        <v>46</v>
      </c>
      <c r="AM37" s="3">
        <v>46014</v>
      </c>
    </row>
    <row r="38" spans="1:39" x14ac:dyDescent="0.3">
      <c r="A38" s="2" t="s">
        <v>416</v>
      </c>
      <c r="B38" s="2" t="s">
        <v>40</v>
      </c>
      <c r="C38" s="3">
        <v>46238</v>
      </c>
      <c r="D38" s="2" t="s">
        <v>41</v>
      </c>
      <c r="E38" s="2" t="s">
        <v>380</v>
      </c>
      <c r="F38" s="2" t="s">
        <v>417</v>
      </c>
      <c r="G38" s="2" t="s">
        <v>418</v>
      </c>
      <c r="H38" s="2" t="s">
        <v>344</v>
      </c>
      <c r="I38" s="4">
        <v>7.7</v>
      </c>
      <c r="J38" s="2" t="s">
        <v>46</v>
      </c>
      <c r="K38" s="2" t="s">
        <v>331</v>
      </c>
      <c r="L38" s="2" t="s">
        <v>46</v>
      </c>
      <c r="M38" s="2" t="s">
        <v>419</v>
      </c>
      <c r="N38" s="2" t="s">
        <v>46</v>
      </c>
      <c r="O38" s="2" t="s">
        <v>346</v>
      </c>
      <c r="P38" s="2" t="s">
        <v>420</v>
      </c>
      <c r="Q38" s="2" t="s">
        <v>46</v>
      </c>
      <c r="R38" s="2" t="s">
        <v>421</v>
      </c>
      <c r="S38" s="2" t="s">
        <v>422</v>
      </c>
      <c r="T38" s="2" t="s">
        <v>46</v>
      </c>
      <c r="U38" s="2" t="s">
        <v>423</v>
      </c>
      <c r="V38" s="2" t="s">
        <v>55</v>
      </c>
      <c r="W38" s="2" t="s">
        <v>46</v>
      </c>
      <c r="X38" s="2" t="s">
        <v>424</v>
      </c>
      <c r="Y38" s="3">
        <v>46112</v>
      </c>
      <c r="Z38" s="2" t="s">
        <v>57</v>
      </c>
      <c r="AA38" s="2" t="s">
        <v>75</v>
      </c>
      <c r="AB38" s="3">
        <v>46387</v>
      </c>
      <c r="AC38" s="2" t="s">
        <v>422</v>
      </c>
      <c r="AD38" s="3">
        <v>46112</v>
      </c>
      <c r="AE38" s="5" t="b">
        <f>TRUE()</f>
        <v>1</v>
      </c>
      <c r="AF38" s="2" t="s">
        <v>46</v>
      </c>
      <c r="AG38" s="2" t="s">
        <v>425</v>
      </c>
      <c r="AH38" s="2" t="s">
        <v>426</v>
      </c>
      <c r="AI38" s="5" t="b">
        <f>FALSE()</f>
        <v>0</v>
      </c>
      <c r="AJ38" s="5" t="b">
        <f>FALSE()</f>
        <v>0</v>
      </c>
      <c r="AK38" s="2" t="s">
        <v>46</v>
      </c>
      <c r="AL38" s="2" t="s">
        <v>46</v>
      </c>
      <c r="AM38" s="3">
        <v>46007</v>
      </c>
    </row>
    <row r="39" spans="1:39" x14ac:dyDescent="0.3">
      <c r="A39" s="2" t="s">
        <v>427</v>
      </c>
      <c r="B39" s="2" t="s">
        <v>40</v>
      </c>
      <c r="C39" s="3">
        <v>46238</v>
      </c>
      <c r="D39" s="2" t="s">
        <v>41</v>
      </c>
      <c r="E39" s="2" t="s">
        <v>428</v>
      </c>
      <c r="F39" s="2" t="s">
        <v>429</v>
      </c>
      <c r="G39" s="2" t="s">
        <v>430</v>
      </c>
      <c r="H39" s="2" t="s">
        <v>104</v>
      </c>
      <c r="I39" s="4">
        <v>1.45</v>
      </c>
      <c r="J39" s="2" t="s">
        <v>46</v>
      </c>
      <c r="K39" s="2" t="s">
        <v>104</v>
      </c>
      <c r="L39" s="2" t="s">
        <v>46</v>
      </c>
      <c r="M39" s="2" t="s">
        <v>431</v>
      </c>
      <c r="N39" s="2" t="s">
        <v>46</v>
      </c>
      <c r="O39" s="2" t="s">
        <v>156</v>
      </c>
      <c r="P39" s="2" t="s">
        <v>432</v>
      </c>
      <c r="Q39" s="2" t="s">
        <v>46</v>
      </c>
      <c r="R39" s="2" t="s">
        <v>433</v>
      </c>
      <c r="S39" s="2" t="s">
        <v>434</v>
      </c>
      <c r="T39" s="2" t="s">
        <v>46</v>
      </c>
      <c r="U39" s="2" t="s">
        <v>435</v>
      </c>
      <c r="V39" s="2" t="s">
        <v>55</v>
      </c>
      <c r="W39" s="2" t="s">
        <v>46</v>
      </c>
      <c r="X39" s="2" t="s">
        <v>436</v>
      </c>
      <c r="Y39" s="3">
        <v>46265</v>
      </c>
      <c r="Z39" s="2" t="s">
        <v>57</v>
      </c>
      <c r="AA39" s="2" t="s">
        <v>124</v>
      </c>
      <c r="AB39" s="3">
        <v>46387</v>
      </c>
      <c r="AC39" s="2" t="s">
        <v>434</v>
      </c>
      <c r="AD39" s="3">
        <v>46265</v>
      </c>
      <c r="AE39" s="5" t="b">
        <f>TRUE()</f>
        <v>1</v>
      </c>
      <c r="AF39" s="2" t="s">
        <v>46</v>
      </c>
      <c r="AG39" s="2" t="s">
        <v>437</v>
      </c>
      <c r="AH39" s="2" t="s">
        <v>438</v>
      </c>
      <c r="AI39" s="5" t="b">
        <f>FALSE()</f>
        <v>0</v>
      </c>
      <c r="AJ39" s="5" t="b">
        <f>FALSE()</f>
        <v>0</v>
      </c>
      <c r="AK39" s="2" t="s">
        <v>46</v>
      </c>
      <c r="AL39" s="2" t="s">
        <v>46</v>
      </c>
      <c r="AM39" s="3">
        <v>46007</v>
      </c>
    </row>
    <row r="40" spans="1:39" x14ac:dyDescent="0.3">
      <c r="A40" s="2" t="s">
        <v>439</v>
      </c>
      <c r="B40" s="2" t="s">
        <v>40</v>
      </c>
      <c r="C40" s="3">
        <v>46238</v>
      </c>
      <c r="D40" s="2" t="s">
        <v>41</v>
      </c>
      <c r="E40" s="2" t="s">
        <v>342</v>
      </c>
      <c r="F40" s="2" t="s">
        <v>440</v>
      </c>
      <c r="G40" s="2" t="s">
        <v>46</v>
      </c>
      <c r="H40" s="2" t="s">
        <v>441</v>
      </c>
      <c r="I40" s="4">
        <v>3.7</v>
      </c>
      <c r="J40" s="2" t="s">
        <v>46</v>
      </c>
      <c r="K40" s="2" t="s">
        <v>333</v>
      </c>
      <c r="L40" s="2" t="s">
        <v>442</v>
      </c>
      <c r="M40" s="2" t="s">
        <v>443</v>
      </c>
      <c r="N40" s="2" t="s">
        <v>46</v>
      </c>
      <c r="O40" s="2" t="s">
        <v>444</v>
      </c>
      <c r="P40" s="2" t="s">
        <v>445</v>
      </c>
      <c r="Q40" s="2" t="s">
        <v>46</v>
      </c>
      <c r="R40" s="2" t="s">
        <v>446</v>
      </c>
      <c r="S40" s="2" t="s">
        <v>447</v>
      </c>
      <c r="T40" s="2" t="s">
        <v>46</v>
      </c>
      <c r="U40" s="2" t="s">
        <v>54</v>
      </c>
      <c r="V40" s="2" t="s">
        <v>55</v>
      </c>
      <c r="W40" s="2" t="s">
        <v>46</v>
      </c>
      <c r="X40" s="2" t="s">
        <v>448</v>
      </c>
      <c r="Y40" s="3">
        <v>46203</v>
      </c>
      <c r="Z40" s="2" t="s">
        <v>57</v>
      </c>
      <c r="AA40" s="2" t="s">
        <v>58</v>
      </c>
      <c r="AB40" s="3">
        <v>46387</v>
      </c>
      <c r="AC40" s="2" t="s">
        <v>447</v>
      </c>
      <c r="AD40" s="3">
        <v>46203</v>
      </c>
      <c r="AE40" s="5" t="b">
        <f>TRUE()</f>
        <v>1</v>
      </c>
      <c r="AF40" s="2" t="s">
        <v>46</v>
      </c>
      <c r="AG40" s="2" t="s">
        <v>46</v>
      </c>
      <c r="AH40" s="2" t="s">
        <v>449</v>
      </c>
      <c r="AI40" s="5" t="b">
        <f>FALSE()</f>
        <v>0</v>
      </c>
      <c r="AJ40" s="5" t="b">
        <f>TRUE()</f>
        <v>1</v>
      </c>
      <c r="AK40" s="2" t="s">
        <v>46</v>
      </c>
      <c r="AL40" s="2" t="s">
        <v>46</v>
      </c>
      <c r="AM40" s="3">
        <v>45986</v>
      </c>
    </row>
    <row r="41" spans="1:39" x14ac:dyDescent="0.3">
      <c r="A41" s="2" t="s">
        <v>450</v>
      </c>
      <c r="B41" s="2" t="s">
        <v>40</v>
      </c>
      <c r="C41" s="3">
        <v>46238</v>
      </c>
      <c r="D41" s="2" t="s">
        <v>41</v>
      </c>
      <c r="E41" s="2" t="s">
        <v>380</v>
      </c>
      <c r="F41" s="2" t="s">
        <v>451</v>
      </c>
      <c r="G41" s="2" t="s">
        <v>46</v>
      </c>
      <c r="H41" s="2" t="s">
        <v>104</v>
      </c>
      <c r="I41" s="4">
        <v>2.5499999999999998</v>
      </c>
      <c r="J41" s="2" t="s">
        <v>46</v>
      </c>
      <c r="K41" s="2" t="s">
        <v>104</v>
      </c>
      <c r="L41" s="2" t="s">
        <v>46</v>
      </c>
      <c r="M41" s="2" t="s">
        <v>452</v>
      </c>
      <c r="N41" s="2" t="s">
        <v>46</v>
      </c>
      <c r="O41" s="2" t="s">
        <v>156</v>
      </c>
      <c r="P41" s="2" t="s">
        <v>453</v>
      </c>
      <c r="Q41" s="2" t="s">
        <v>46</v>
      </c>
      <c r="R41" s="2" t="s">
        <v>454</v>
      </c>
      <c r="S41" s="2" t="s">
        <v>455</v>
      </c>
      <c r="T41" s="2" t="s">
        <v>46</v>
      </c>
      <c r="U41" s="2" t="s">
        <v>54</v>
      </c>
      <c r="V41" s="2" t="s">
        <v>55</v>
      </c>
      <c r="W41" s="2" t="s">
        <v>46</v>
      </c>
      <c r="X41" s="2" t="s">
        <v>448</v>
      </c>
      <c r="Y41" s="3">
        <v>46203</v>
      </c>
      <c r="Z41" s="2" t="s">
        <v>57</v>
      </c>
      <c r="AA41" s="2" t="s">
        <v>58</v>
      </c>
      <c r="AB41" s="3">
        <v>46387</v>
      </c>
      <c r="AC41" s="2" t="s">
        <v>455</v>
      </c>
      <c r="AD41" s="3">
        <v>46203</v>
      </c>
      <c r="AE41" s="5" t="b">
        <f>TRUE()</f>
        <v>1</v>
      </c>
      <c r="AF41" s="2" t="s">
        <v>46</v>
      </c>
      <c r="AG41" s="2" t="s">
        <v>46</v>
      </c>
      <c r="AH41" s="2" t="s">
        <v>456</v>
      </c>
      <c r="AI41" s="5" t="b">
        <f>FALSE()</f>
        <v>0</v>
      </c>
      <c r="AJ41" s="5" t="b">
        <f>FALSE()</f>
        <v>0</v>
      </c>
      <c r="AK41" s="2" t="s">
        <v>46</v>
      </c>
      <c r="AL41" s="2" t="s">
        <v>46</v>
      </c>
      <c r="AM41" s="3">
        <v>45986</v>
      </c>
    </row>
    <row r="42" spans="1:39" x14ac:dyDescent="0.3">
      <c r="A42" s="2" t="s">
        <v>457</v>
      </c>
      <c r="B42" s="2" t="s">
        <v>40</v>
      </c>
      <c r="C42" s="3">
        <v>46238</v>
      </c>
      <c r="D42" s="2" t="s">
        <v>41</v>
      </c>
      <c r="E42" s="2" t="s">
        <v>342</v>
      </c>
      <c r="F42" s="2" t="s">
        <v>458</v>
      </c>
      <c r="G42" s="2" t="s">
        <v>459</v>
      </c>
      <c r="H42" s="2" t="s">
        <v>441</v>
      </c>
      <c r="I42" s="4">
        <v>3.4</v>
      </c>
      <c r="J42" s="2" t="s">
        <v>46</v>
      </c>
      <c r="K42" s="2" t="s">
        <v>441</v>
      </c>
      <c r="L42" s="2" t="s">
        <v>460</v>
      </c>
      <c r="M42" s="2" t="s">
        <v>461</v>
      </c>
      <c r="N42" s="2" t="s">
        <v>46</v>
      </c>
      <c r="O42" s="2" t="s">
        <v>462</v>
      </c>
      <c r="P42" s="2" t="s">
        <v>463</v>
      </c>
      <c r="Q42" s="2" t="s">
        <v>464</v>
      </c>
      <c r="R42" s="2" t="s">
        <v>465</v>
      </c>
      <c r="S42" s="2" t="s">
        <v>466</v>
      </c>
      <c r="T42" s="2" t="s">
        <v>46</v>
      </c>
      <c r="U42" s="2" t="s">
        <v>54</v>
      </c>
      <c r="V42" s="2" t="s">
        <v>55</v>
      </c>
      <c r="W42" s="2" t="s">
        <v>46</v>
      </c>
      <c r="X42" s="2" t="s">
        <v>448</v>
      </c>
      <c r="Y42" s="3">
        <v>46203</v>
      </c>
      <c r="Z42" s="2" t="s">
        <v>57</v>
      </c>
      <c r="AA42" s="2" t="s">
        <v>58</v>
      </c>
      <c r="AB42" s="3">
        <v>46387</v>
      </c>
      <c r="AC42" s="2" t="s">
        <v>466</v>
      </c>
      <c r="AD42" s="3">
        <v>46203</v>
      </c>
      <c r="AE42" s="5" t="b">
        <f>TRUE()</f>
        <v>1</v>
      </c>
      <c r="AF42" s="2" t="s">
        <v>46</v>
      </c>
      <c r="AG42" s="2" t="s">
        <v>467</v>
      </c>
      <c r="AH42" s="2" t="s">
        <v>468</v>
      </c>
      <c r="AI42" s="5" t="b">
        <f>FALSE()</f>
        <v>0</v>
      </c>
      <c r="AJ42" s="5" t="b">
        <f>FALSE()</f>
        <v>0</v>
      </c>
      <c r="AK42" s="2" t="s">
        <v>46</v>
      </c>
      <c r="AL42" s="2" t="s">
        <v>46</v>
      </c>
      <c r="AM42" s="3">
        <v>45986</v>
      </c>
    </row>
    <row r="43" spans="1:39" x14ac:dyDescent="0.3">
      <c r="A43" s="2" t="s">
        <v>469</v>
      </c>
      <c r="B43" s="2" t="s">
        <v>40</v>
      </c>
      <c r="C43" s="3">
        <v>46238</v>
      </c>
      <c r="D43" s="2" t="s">
        <v>41</v>
      </c>
      <c r="E43" s="2" t="s">
        <v>380</v>
      </c>
      <c r="F43" s="2" t="s">
        <v>470</v>
      </c>
      <c r="G43" s="2" t="s">
        <v>46</v>
      </c>
      <c r="H43" s="2" t="s">
        <v>209</v>
      </c>
      <c r="I43" s="4">
        <v>2.4</v>
      </c>
      <c r="J43" s="2" t="s">
        <v>46</v>
      </c>
      <c r="K43" s="2" t="s">
        <v>209</v>
      </c>
      <c r="L43" s="2" t="s">
        <v>46</v>
      </c>
      <c r="M43" s="2" t="s">
        <v>471</v>
      </c>
      <c r="N43" s="2" t="s">
        <v>46</v>
      </c>
      <c r="O43" s="2" t="s">
        <v>309</v>
      </c>
      <c r="P43" s="2" t="s">
        <v>472</v>
      </c>
      <c r="Q43" s="2" t="s">
        <v>46</v>
      </c>
      <c r="R43" s="2" t="s">
        <v>473</v>
      </c>
      <c r="S43" s="2" t="s">
        <v>474</v>
      </c>
      <c r="T43" s="2" t="s">
        <v>46</v>
      </c>
      <c r="U43" s="2" t="s">
        <v>54</v>
      </c>
      <c r="V43" s="2" t="s">
        <v>55</v>
      </c>
      <c r="W43" s="2" t="s">
        <v>46</v>
      </c>
      <c r="X43" s="2" t="s">
        <v>56</v>
      </c>
      <c r="Y43" s="3">
        <v>46203</v>
      </c>
      <c r="Z43" s="2" t="s">
        <v>57</v>
      </c>
      <c r="AA43" s="2" t="s">
        <v>58</v>
      </c>
      <c r="AB43" s="3">
        <v>46387</v>
      </c>
      <c r="AC43" s="2" t="s">
        <v>474</v>
      </c>
      <c r="AD43" s="3">
        <v>46203</v>
      </c>
      <c r="AE43" s="5" t="b">
        <f>TRUE()</f>
        <v>1</v>
      </c>
      <c r="AF43" s="2" t="s">
        <v>46</v>
      </c>
      <c r="AG43" s="2" t="s">
        <v>475</v>
      </c>
      <c r="AH43" s="2" t="s">
        <v>476</v>
      </c>
      <c r="AI43" s="5" t="b">
        <f>FALSE()</f>
        <v>0</v>
      </c>
      <c r="AJ43" s="5" t="b">
        <f>FALSE()</f>
        <v>0</v>
      </c>
      <c r="AK43" s="2" t="s">
        <v>46</v>
      </c>
      <c r="AL43" s="2" t="s">
        <v>46</v>
      </c>
      <c r="AM43" s="3">
        <v>45986</v>
      </c>
    </row>
    <row r="44" spans="1:39" x14ac:dyDescent="0.3">
      <c r="A44" s="2" t="s">
        <v>477</v>
      </c>
      <c r="B44" s="2" t="s">
        <v>40</v>
      </c>
      <c r="C44" s="3">
        <v>46238</v>
      </c>
      <c r="D44" s="2" t="s">
        <v>41</v>
      </c>
      <c r="E44" s="2" t="s">
        <v>380</v>
      </c>
      <c r="F44" s="2" t="s">
        <v>478</v>
      </c>
      <c r="G44" s="2" t="s">
        <v>46</v>
      </c>
      <c r="H44" s="2" t="s">
        <v>89</v>
      </c>
      <c r="I44" s="4">
        <v>3.7</v>
      </c>
      <c r="J44" s="2" t="s">
        <v>46</v>
      </c>
      <c r="K44" s="2" t="s">
        <v>89</v>
      </c>
      <c r="L44" s="2" t="s">
        <v>46</v>
      </c>
      <c r="M44" s="2" t="s">
        <v>479</v>
      </c>
      <c r="N44" s="2" t="s">
        <v>46</v>
      </c>
      <c r="O44" s="2" t="s">
        <v>119</v>
      </c>
      <c r="P44" s="2" t="s">
        <v>480</v>
      </c>
      <c r="Q44" s="2" t="s">
        <v>46</v>
      </c>
      <c r="R44" s="2" t="s">
        <v>481</v>
      </c>
      <c r="S44" s="2" t="s">
        <v>482</v>
      </c>
      <c r="T44" s="2" t="s">
        <v>46</v>
      </c>
      <c r="U44" s="2" t="s">
        <v>54</v>
      </c>
      <c r="V44" s="2" t="s">
        <v>55</v>
      </c>
      <c r="W44" s="2" t="s">
        <v>46</v>
      </c>
      <c r="X44" s="2" t="s">
        <v>56</v>
      </c>
      <c r="Y44" s="3">
        <v>46203</v>
      </c>
      <c r="Z44" s="2" t="s">
        <v>57</v>
      </c>
      <c r="AA44" s="2" t="s">
        <v>58</v>
      </c>
      <c r="AB44" s="3">
        <v>46387</v>
      </c>
      <c r="AC44" s="2" t="s">
        <v>482</v>
      </c>
      <c r="AD44" s="3">
        <v>46203</v>
      </c>
      <c r="AE44" s="5" t="b">
        <f>TRUE()</f>
        <v>1</v>
      </c>
      <c r="AF44" s="2" t="s">
        <v>46</v>
      </c>
      <c r="AG44" s="2" t="s">
        <v>483</v>
      </c>
      <c r="AH44" s="2" t="s">
        <v>484</v>
      </c>
      <c r="AI44" s="5" t="b">
        <f>FALSE()</f>
        <v>0</v>
      </c>
      <c r="AJ44" s="5" t="b">
        <f>FALSE()</f>
        <v>0</v>
      </c>
      <c r="AK44" s="2" t="s">
        <v>46</v>
      </c>
      <c r="AL44" s="2" t="s">
        <v>46</v>
      </c>
      <c r="AM44" s="3">
        <v>45985</v>
      </c>
    </row>
    <row r="45" spans="1:39" x14ac:dyDescent="0.3">
      <c r="A45" s="2" t="s">
        <v>485</v>
      </c>
      <c r="B45" s="2" t="s">
        <v>40</v>
      </c>
      <c r="C45" s="3">
        <v>46238</v>
      </c>
      <c r="D45" s="2" t="s">
        <v>41</v>
      </c>
      <c r="E45" s="2" t="s">
        <v>380</v>
      </c>
      <c r="F45" s="2" t="s">
        <v>486</v>
      </c>
      <c r="G45" s="2" t="s">
        <v>46</v>
      </c>
      <c r="H45" s="2" t="s">
        <v>221</v>
      </c>
      <c r="I45" s="4">
        <v>5.25</v>
      </c>
      <c r="J45" s="2" t="s">
        <v>46</v>
      </c>
      <c r="K45" s="2" t="s">
        <v>221</v>
      </c>
      <c r="L45" s="2" t="s">
        <v>46</v>
      </c>
      <c r="M45" s="2" t="s">
        <v>487</v>
      </c>
      <c r="N45" s="2" t="s">
        <v>46</v>
      </c>
      <c r="O45" s="2" t="s">
        <v>488</v>
      </c>
      <c r="P45" s="2" t="s">
        <v>489</v>
      </c>
      <c r="Q45" s="2" t="s">
        <v>46</v>
      </c>
      <c r="R45" s="2" t="s">
        <v>490</v>
      </c>
      <c r="S45" s="2" t="s">
        <v>491</v>
      </c>
      <c r="T45" s="2" t="s">
        <v>46</v>
      </c>
      <c r="U45" s="2" t="s">
        <v>492</v>
      </c>
      <c r="V45" s="2" t="s">
        <v>55</v>
      </c>
      <c r="W45" s="2" t="s">
        <v>46</v>
      </c>
      <c r="X45" s="2" t="s">
        <v>281</v>
      </c>
      <c r="Y45" s="3">
        <v>46142</v>
      </c>
      <c r="Z45" s="2" t="s">
        <v>57</v>
      </c>
      <c r="AA45" s="2" t="s">
        <v>124</v>
      </c>
      <c r="AB45" s="3">
        <v>46387</v>
      </c>
      <c r="AC45" s="2" t="s">
        <v>491</v>
      </c>
      <c r="AD45" s="3">
        <v>46142</v>
      </c>
      <c r="AE45" s="5" t="b">
        <f>TRUE()</f>
        <v>1</v>
      </c>
      <c r="AF45" s="2" t="s">
        <v>46</v>
      </c>
      <c r="AG45" s="2" t="s">
        <v>493</v>
      </c>
      <c r="AH45" s="2" t="s">
        <v>494</v>
      </c>
      <c r="AI45" s="5" t="b">
        <f>FALSE()</f>
        <v>0</v>
      </c>
      <c r="AJ45" s="5" t="b">
        <f>FALSE()</f>
        <v>0</v>
      </c>
      <c r="AK45" s="2" t="s">
        <v>46</v>
      </c>
      <c r="AL45" s="2" t="s">
        <v>46</v>
      </c>
      <c r="AM45" s="3">
        <v>45968</v>
      </c>
    </row>
    <row r="46" spans="1:39" x14ac:dyDescent="0.3">
      <c r="A46" s="2" t="s">
        <v>495</v>
      </c>
      <c r="B46" s="2" t="s">
        <v>40</v>
      </c>
      <c r="C46" s="3">
        <v>46238</v>
      </c>
      <c r="D46" s="2" t="s">
        <v>41</v>
      </c>
      <c r="E46" s="2" t="s">
        <v>342</v>
      </c>
      <c r="F46" s="2" t="s">
        <v>496</v>
      </c>
      <c r="G46" s="2" t="s">
        <v>46</v>
      </c>
      <c r="H46" s="2" t="s">
        <v>89</v>
      </c>
      <c r="I46" s="4">
        <v>2.0499999999999998</v>
      </c>
      <c r="J46" s="2" t="s">
        <v>46</v>
      </c>
      <c r="K46" s="2" t="s">
        <v>89</v>
      </c>
      <c r="L46" s="2" t="s">
        <v>46</v>
      </c>
      <c r="M46" s="2" t="s">
        <v>497</v>
      </c>
      <c r="N46" s="2" t="s">
        <v>46</v>
      </c>
      <c r="O46" s="2" t="s">
        <v>119</v>
      </c>
      <c r="P46" s="2" t="s">
        <v>498</v>
      </c>
      <c r="Q46" s="2" t="s">
        <v>499</v>
      </c>
      <c r="R46" s="2" t="s">
        <v>500</v>
      </c>
      <c r="S46" s="2" t="s">
        <v>501</v>
      </c>
      <c r="T46" s="2" t="s">
        <v>46</v>
      </c>
      <c r="U46" s="2" t="s">
        <v>502</v>
      </c>
      <c r="V46" s="2" t="s">
        <v>55</v>
      </c>
      <c r="W46" s="2" t="s">
        <v>46</v>
      </c>
      <c r="X46" s="2" t="s">
        <v>111</v>
      </c>
      <c r="Y46" s="3">
        <v>46265</v>
      </c>
      <c r="Z46" s="2" t="s">
        <v>57</v>
      </c>
      <c r="AA46" s="2" t="s">
        <v>124</v>
      </c>
      <c r="AB46" s="3">
        <v>46352</v>
      </c>
      <c r="AC46" s="2" t="s">
        <v>501</v>
      </c>
      <c r="AD46" s="3">
        <v>46265</v>
      </c>
      <c r="AE46" s="5" t="b">
        <f>TRUE()</f>
        <v>1</v>
      </c>
      <c r="AF46" s="2" t="s">
        <v>46</v>
      </c>
      <c r="AG46" s="2" t="s">
        <v>503</v>
      </c>
      <c r="AH46" s="2" t="s">
        <v>504</v>
      </c>
      <c r="AI46" s="5" t="b">
        <f>FALSE()</f>
        <v>0</v>
      </c>
      <c r="AJ46" s="5" t="b">
        <f>TRUE()</f>
        <v>1</v>
      </c>
      <c r="AK46" s="2" t="s">
        <v>46</v>
      </c>
      <c r="AL46" s="2" t="s">
        <v>46</v>
      </c>
      <c r="AM46" s="3">
        <v>45932</v>
      </c>
    </row>
    <row r="47" spans="1:39" x14ac:dyDescent="0.3">
      <c r="A47" s="2" t="s">
        <v>505</v>
      </c>
      <c r="B47" s="2" t="s">
        <v>40</v>
      </c>
      <c r="C47" s="3">
        <v>46238</v>
      </c>
      <c r="D47" s="2" t="s">
        <v>41</v>
      </c>
      <c r="E47" s="2" t="s">
        <v>506</v>
      </c>
      <c r="F47" s="2" t="s">
        <v>507</v>
      </c>
      <c r="G47" s="2" t="s">
        <v>46</v>
      </c>
      <c r="H47" s="2" t="s">
        <v>47</v>
      </c>
      <c r="I47" s="4">
        <v>1.35</v>
      </c>
      <c r="J47" s="2" t="s">
        <v>46</v>
      </c>
      <c r="K47" s="2" t="s">
        <v>47</v>
      </c>
      <c r="L47" s="2" t="s">
        <v>46</v>
      </c>
      <c r="M47" s="2" t="s">
        <v>508</v>
      </c>
      <c r="N47" s="2" t="s">
        <v>46</v>
      </c>
      <c r="O47" s="2" t="s">
        <v>509</v>
      </c>
      <c r="P47" s="2" t="s">
        <v>510</v>
      </c>
      <c r="Q47" s="2" t="s">
        <v>511</v>
      </c>
      <c r="R47" s="2" t="s">
        <v>512</v>
      </c>
      <c r="S47" s="2" t="s">
        <v>513</v>
      </c>
      <c r="T47" s="2" t="s">
        <v>46</v>
      </c>
      <c r="U47" s="2" t="s">
        <v>514</v>
      </c>
      <c r="V47" s="2" t="s">
        <v>55</v>
      </c>
      <c r="W47" s="2" t="s">
        <v>46</v>
      </c>
      <c r="X47" s="2" t="s">
        <v>515</v>
      </c>
      <c r="Y47" s="3">
        <v>46203</v>
      </c>
      <c r="Z47" s="2" t="s">
        <v>57</v>
      </c>
      <c r="AA47" s="2" t="s">
        <v>124</v>
      </c>
      <c r="AB47" s="3">
        <v>46326</v>
      </c>
      <c r="AC47" s="2" t="s">
        <v>513</v>
      </c>
      <c r="AD47" s="3">
        <v>46203</v>
      </c>
      <c r="AE47" s="5" t="b">
        <f>TRUE()</f>
        <v>1</v>
      </c>
      <c r="AF47" s="2" t="s">
        <v>46</v>
      </c>
      <c r="AG47" s="2" t="s">
        <v>516</v>
      </c>
      <c r="AH47" s="2" t="s">
        <v>517</v>
      </c>
      <c r="AI47" s="5" t="b">
        <f>FALSE()</f>
        <v>0</v>
      </c>
      <c r="AJ47" s="5" t="b">
        <f>FALSE()</f>
        <v>0</v>
      </c>
      <c r="AK47" s="2" t="s">
        <v>46</v>
      </c>
      <c r="AL47" s="2" t="s">
        <v>46</v>
      </c>
      <c r="AM47" s="3">
        <v>45905</v>
      </c>
    </row>
    <row r="48" spans="1:39" x14ac:dyDescent="0.3">
      <c r="A48" s="2" t="s">
        <v>518</v>
      </c>
      <c r="B48" s="2" t="s">
        <v>40</v>
      </c>
      <c r="C48" s="3">
        <v>46238</v>
      </c>
      <c r="D48" s="2" t="s">
        <v>41</v>
      </c>
      <c r="E48" s="2" t="s">
        <v>390</v>
      </c>
      <c r="F48" s="2" t="s">
        <v>63</v>
      </c>
      <c r="G48" s="2" t="s">
        <v>519</v>
      </c>
      <c r="H48" s="2" t="s">
        <v>520</v>
      </c>
      <c r="I48" s="4">
        <v>10.15</v>
      </c>
      <c r="J48" s="2" t="s">
        <v>46</v>
      </c>
      <c r="K48" s="2" t="s">
        <v>66</v>
      </c>
      <c r="L48" s="2" t="s">
        <v>46</v>
      </c>
      <c r="M48" s="2" t="s">
        <v>67</v>
      </c>
      <c r="N48" s="2" t="s">
        <v>46</v>
      </c>
      <c r="O48" s="2" t="s">
        <v>68</v>
      </c>
      <c r="P48" s="2" t="s">
        <v>69</v>
      </c>
      <c r="Q48" s="2" t="s">
        <v>46</v>
      </c>
      <c r="R48" s="2" t="s">
        <v>70</v>
      </c>
      <c r="S48" s="2" t="s">
        <v>71</v>
      </c>
      <c r="T48" s="2" t="s">
        <v>46</v>
      </c>
      <c r="U48" s="2" t="s">
        <v>72</v>
      </c>
      <c r="V48" s="2" t="s">
        <v>55</v>
      </c>
      <c r="W48" s="2" t="s">
        <v>46</v>
      </c>
      <c r="X48" s="2" t="s">
        <v>73</v>
      </c>
      <c r="Y48" s="3">
        <v>46203</v>
      </c>
      <c r="Z48" s="2" t="s">
        <v>57</v>
      </c>
      <c r="AA48" s="2" t="s">
        <v>75</v>
      </c>
      <c r="AB48" s="3">
        <v>46265</v>
      </c>
      <c r="AC48" s="2" t="s">
        <v>71</v>
      </c>
      <c r="AD48" s="3">
        <v>46203</v>
      </c>
      <c r="AE48" s="5" t="b">
        <f>TRUE()</f>
        <v>1</v>
      </c>
      <c r="AF48" s="2" t="s">
        <v>46</v>
      </c>
      <c r="AG48" s="2" t="s">
        <v>76</v>
      </c>
      <c r="AH48" s="2" t="s">
        <v>77</v>
      </c>
      <c r="AI48" s="5" t="b">
        <f>FALSE()</f>
        <v>0</v>
      </c>
      <c r="AJ48" s="5" t="b">
        <f>FALSE()</f>
        <v>0</v>
      </c>
      <c r="AK48" s="2" t="s">
        <v>46</v>
      </c>
      <c r="AL48" s="2" t="s">
        <v>46</v>
      </c>
      <c r="AM48" s="3">
        <v>45881</v>
      </c>
    </row>
    <row r="49" spans="1:39" x14ac:dyDescent="0.3">
      <c r="A49" s="2" t="s">
        <v>521</v>
      </c>
      <c r="B49" s="2" t="s">
        <v>40</v>
      </c>
      <c r="C49" s="3">
        <v>46238</v>
      </c>
      <c r="D49" s="2" t="s">
        <v>41</v>
      </c>
      <c r="E49" s="2" t="s">
        <v>390</v>
      </c>
      <c r="F49" s="2" t="s">
        <v>522</v>
      </c>
      <c r="G49" s="2" t="s">
        <v>46</v>
      </c>
      <c r="H49" s="2" t="s">
        <v>82</v>
      </c>
      <c r="I49" s="4">
        <v>1.75</v>
      </c>
      <c r="J49" s="2" t="s">
        <v>46</v>
      </c>
      <c r="K49" s="2" t="s">
        <v>274</v>
      </c>
      <c r="L49" s="2" t="s">
        <v>46</v>
      </c>
      <c r="M49" s="2" t="s">
        <v>523</v>
      </c>
      <c r="N49" s="2" t="s">
        <v>46</v>
      </c>
      <c r="O49" s="2" t="s">
        <v>524</v>
      </c>
      <c r="P49" s="2" t="s">
        <v>525</v>
      </c>
      <c r="Q49" s="2" t="s">
        <v>46</v>
      </c>
      <c r="R49" s="2" t="s">
        <v>526</v>
      </c>
      <c r="S49" s="2" t="s">
        <v>527</v>
      </c>
      <c r="T49" s="2" t="s">
        <v>46</v>
      </c>
      <c r="U49" s="2" t="s">
        <v>528</v>
      </c>
      <c r="V49" s="2" t="s">
        <v>55</v>
      </c>
      <c r="W49" s="2" t="s">
        <v>46</v>
      </c>
      <c r="X49" s="2" t="s">
        <v>292</v>
      </c>
      <c r="Y49" s="3">
        <v>46234</v>
      </c>
      <c r="Z49" s="2" t="s">
        <v>57</v>
      </c>
      <c r="AA49" s="2" t="s">
        <v>124</v>
      </c>
      <c r="AB49" s="3">
        <v>46321</v>
      </c>
      <c r="AC49" s="2" t="s">
        <v>527</v>
      </c>
      <c r="AD49" s="3">
        <v>46234</v>
      </c>
      <c r="AE49" s="5" t="b">
        <f>TRUE()</f>
        <v>1</v>
      </c>
      <c r="AF49" s="2" t="s">
        <v>46</v>
      </c>
      <c r="AG49" s="2" t="s">
        <v>529</v>
      </c>
      <c r="AH49" s="2" t="s">
        <v>530</v>
      </c>
      <c r="AI49" s="5" t="b">
        <f>FALSE()</f>
        <v>0</v>
      </c>
      <c r="AJ49" s="5" t="b">
        <f>FALSE()</f>
        <v>0</v>
      </c>
      <c r="AK49" s="2" t="s">
        <v>46</v>
      </c>
      <c r="AL49" s="2" t="s">
        <v>46</v>
      </c>
      <c r="AM49" s="3">
        <v>45876</v>
      </c>
    </row>
    <row r="50" spans="1:39" x14ac:dyDescent="0.3">
      <c r="A50" s="2" t="s">
        <v>531</v>
      </c>
      <c r="B50" s="2" t="s">
        <v>40</v>
      </c>
      <c r="C50" s="3">
        <v>46238</v>
      </c>
      <c r="D50" s="2" t="s">
        <v>41</v>
      </c>
      <c r="E50" s="2" t="s">
        <v>390</v>
      </c>
      <c r="F50" s="2" t="s">
        <v>532</v>
      </c>
      <c r="G50" s="2" t="s">
        <v>46</v>
      </c>
      <c r="H50" s="2" t="s">
        <v>82</v>
      </c>
      <c r="I50" s="4">
        <v>1.75</v>
      </c>
      <c r="J50" s="2" t="s">
        <v>46</v>
      </c>
      <c r="K50" s="2" t="s">
        <v>274</v>
      </c>
      <c r="L50" s="2" t="s">
        <v>46</v>
      </c>
      <c r="M50" s="2" t="s">
        <v>533</v>
      </c>
      <c r="N50" s="2" t="s">
        <v>46</v>
      </c>
      <c r="O50" s="2" t="s">
        <v>276</v>
      </c>
      <c r="P50" s="2" t="s">
        <v>534</v>
      </c>
      <c r="Q50" s="2" t="s">
        <v>46</v>
      </c>
      <c r="R50" s="2" t="s">
        <v>535</v>
      </c>
      <c r="S50" s="2" t="s">
        <v>536</v>
      </c>
      <c r="T50" s="2" t="s">
        <v>46</v>
      </c>
      <c r="U50" s="2" t="s">
        <v>537</v>
      </c>
      <c r="V50" s="2" t="s">
        <v>55</v>
      </c>
      <c r="W50" s="2" t="s">
        <v>46</v>
      </c>
      <c r="X50" s="2" t="s">
        <v>292</v>
      </c>
      <c r="Y50" s="3">
        <v>46173</v>
      </c>
      <c r="Z50" s="2" t="s">
        <v>57</v>
      </c>
      <c r="AA50" s="2" t="s">
        <v>124</v>
      </c>
      <c r="AB50" s="3">
        <v>46605</v>
      </c>
      <c r="AC50" s="2" t="s">
        <v>536</v>
      </c>
      <c r="AD50" s="3">
        <v>46173</v>
      </c>
      <c r="AE50" s="5" t="b">
        <f>TRUE()</f>
        <v>1</v>
      </c>
      <c r="AF50" s="2" t="s">
        <v>46</v>
      </c>
      <c r="AG50" s="2" t="s">
        <v>538</v>
      </c>
      <c r="AH50" s="2" t="s">
        <v>539</v>
      </c>
      <c r="AI50" s="5" t="b">
        <f>FALSE()</f>
        <v>0</v>
      </c>
      <c r="AJ50" s="5" t="b">
        <f>FALSE()</f>
        <v>0</v>
      </c>
      <c r="AK50" s="2" t="s">
        <v>46</v>
      </c>
      <c r="AL50" s="2" t="s">
        <v>46</v>
      </c>
      <c r="AM50" s="3">
        <v>45847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Commandes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Jérome Neugebauer</dc:creator>
  <cp:lastModifiedBy>Jérome Neugebauer</cp:lastModifiedBy>
  <dcterms:created xsi:type="dcterms:W3CDTF">2026-08-03T14:48:55Z</dcterms:created>
  <dcterms:modified xsi:type="dcterms:W3CDTF">2026-08-03T14:48:55Z</dcterms:modified>
</cp:coreProperties>
</file>